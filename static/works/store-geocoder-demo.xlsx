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วิธีใช้" sheetId="1" state="visible" r:id="rId1"/>
    <sheet name="รายชื่อร้าน" sheetId="2" state="visible" r:id="rId2"/>
    <sheet name="สรุปเส้นทาง" sheetId="3" state="visible" r:id="rId3"/>
  </sheets>
  <definedNames>
    <definedName name="_xlnm._FilterDatabase" localSheetId="1" hidden="1">'รายชื่อร้าน'!$A$2:$O$17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9C5700"/>
      <sz val="10"/>
    </font>
    <font>
      <sz val="10"/>
    </font>
    <font>
      <b val="1"/>
      <color rgb="001F3864"/>
      <sz val="12"/>
    </font>
    <font>
      <name val="Consolas"/>
      <sz val="10"/>
    </font>
    <font>
      <color rgb="007F5F00"/>
      <sz val="10"/>
    </font>
    <font>
      <b val="1"/>
      <color rgb="001F3864"/>
      <sz val="13"/>
    </font>
    <font>
      <b val="1"/>
      <color rgb="00FFFFFF"/>
      <sz val="10"/>
    </font>
    <font>
      <color rgb="00000000"/>
      <sz val="10"/>
    </font>
    <font>
      <color rgb="000563C1"/>
      <sz val="10"/>
      <u val="single"/>
    </font>
    <font>
      <b val="1"/>
      <color rgb="001F3864"/>
      <sz val="14"/>
    </font>
    <font>
      <b val="1"/>
      <sz val="10"/>
    </font>
    <font>
      <color rgb="007F7F7F"/>
      <sz val="9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1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2" ht="26" customHeight="1">
      <c r="B2" s="1" t="inlineStr">
        <is>
          <t>ระบบหาพิกัดร้านค้าอัตโนมัติจากที่อยู่ (ตัวอย่างผลงาน)</t>
        </is>
      </c>
    </row>
    <row r="3">
      <c r="B3" s="2" t="inlineStr">
        <is>
          <t>⚠️  ข้อมูลร้านค้าทั้งหมดในไฟล์นี้เป็นข้อมูลสมมติ สร้างขึ้นเพื่อสาธิตกลไกเท่านั้น</t>
        </is>
      </c>
    </row>
    <row r="4">
      <c r="B4" s="3" t="inlineStr"/>
    </row>
    <row r="5" ht="22" customHeight="1">
      <c r="B5" s="4" t="inlineStr">
        <is>
          <t>ปัญหาที่แก้</t>
        </is>
      </c>
    </row>
    <row r="6">
      <c r="B6" s="3" t="inlineStr">
        <is>
          <t>เวลาต้องดูแลร้านค้าหลายร้อยแห่งตามเส้นทางเยี่ยมร้านรายสัปดาห์ ข้อมูลที่มีมักเป็นที่อยู่แบบข้อความ</t>
        </is>
      </c>
    </row>
    <row r="7">
      <c r="B7" s="3" t="inlineStr">
        <is>
          <t>ล้วนๆ ไม่มีพิกัด ทำให้วางแผนเส้นทางล่วงหน้าไม่ได้ ต้องเปิด Google Maps ค้นหาทีละร้านตอนออกหน้างาน</t>
        </is>
      </c>
    </row>
    <row r="8">
      <c r="B8" s="3" t="inlineStr">
        <is>
          <t>ซึ่งเสียเวลาและพลาดง่ายเมื่อชื่อร้านซ้ำหรือที่อยู่กำกวม</t>
        </is>
      </c>
    </row>
    <row r="9">
      <c r="B9" s="3" t="inlineStr"/>
    </row>
    <row r="10" ht="22" customHeight="1">
      <c r="B10" s="4" t="inlineStr">
        <is>
          <t>วิธีแก้</t>
        </is>
      </c>
    </row>
    <row r="11">
      <c r="B11" s="3" t="inlineStr">
        <is>
          <t>ให้ไฟล์ Excel ค้นหาพิกัดเองจากที่อยู่ โดยเรียก API ค้นหาพิกัดของ OpenStreetMap (Nominatim)</t>
        </is>
      </c>
    </row>
    <row r="12">
      <c r="B12" s="3" t="inlineStr">
        <is>
          <t>ผ่านฟังก์ชัน WEBSERVICE + FILTERXML ที่มีอยู่ใน Excel โดยตรง — ไม่ต้องติดตั้งโปรแกรมเสริม</t>
        </is>
      </c>
    </row>
    <row r="13">
      <c r="B13" s="3" t="inlineStr">
        <is>
          <t>ไม่ต้องใช้มาโคร และไม่ต้องให้ผู้ใช้กดอนุญาตอะไรเลย</t>
        </is>
      </c>
    </row>
    <row r="14">
      <c r="B14" s="3" t="inlineStr"/>
    </row>
    <row r="15" ht="22" customHeight="1">
      <c r="B15" s="4" t="inlineStr">
        <is>
          <t>หลักการทำงาน (คอลัมน์ L ถึง O ในชีต "รายชื่อร้าน")</t>
        </is>
      </c>
    </row>
    <row r="16">
      <c r="B16" s="5" t="inlineStr">
        <is>
          <t>L — ที่อยู่เต็ม     รวม ที่อยู่ + ตำบล/อำเภอ/จังหวัด + รหัสไปรษณีย์ เป็นข้อความเดียวสำหรับใช้ค้นหา</t>
        </is>
      </c>
    </row>
    <row r="17">
      <c r="B17" s="5" t="inlineStr">
        <is>
          <t>M, N — พิกัด        ถ้าแถวนั้นมีพิกัดเดิมอยู่แล้ว ใช้ค่าเดิมทันที (ไม่เรียก API ซ้ำโดยไม่จำเป็น)</t>
        </is>
      </c>
    </row>
    <row r="18">
      <c r="B18" s="5" t="inlineStr">
        <is>
          <t xml:space="preserve">                    ถ้าไม่มี จึงค่อยเรียก Nominatim ค้นหาให้ · หาไม่พบจะแสดง "ไม่พบพิกัด"</t>
        </is>
      </c>
    </row>
    <row r="19">
      <c r="B19" s="5" t="inlineStr">
        <is>
          <t>O — ปุ่มเปิดแผนที่  มีพิกัดแล้ว → เปิดหมุดตรงตำแหน่ง · ยังไม่มี → เปิดหน้าค้นหาด้วยข้อความที่อยู่แทน</t>
        </is>
      </c>
    </row>
    <row r="20">
      <c r="B20" s="3" t="inlineStr">
        <is>
          <t xml:space="preserve">                    เพื่อให้ผู้ใช้ตรวจด้วยตาแล้วคัดลอกพิกัดกลับมาใส่เองได้ ไม่ใช่ทางตัน</t>
        </is>
      </c>
    </row>
    <row r="21">
      <c r="B21" s="3" t="inlineStr"/>
    </row>
    <row r="22" ht="22" customHeight="1">
      <c r="B22" s="4" t="inlineStr">
        <is>
          <t>ข้อจำกัดที่ต้องรู้ก่อนใช้งานจริง</t>
        </is>
      </c>
    </row>
    <row r="23">
      <c r="B23" s="6" t="inlineStr">
        <is>
          <t>1. WEBSERVICE และ FILTERXML ใช้ได้เฉพาะ Excel บน Windows (2013 ขึ้นไป) และต้องต่ออินเทอร์เน็ต</t>
        </is>
      </c>
    </row>
    <row r="24">
      <c r="B24" s="6" t="inlineStr">
        <is>
          <t xml:space="preserve">   ใช้ไม่ได้บน Excel Online และ Excel for Mac รุ่นเก่า</t>
        </is>
      </c>
    </row>
    <row r="25">
      <c r="B25" s="6" t="inlineStr">
        <is>
          <t>2. Nominatim เป็นบริการฟรี มีข้อจำกัดประมาณ 1 คำขอ/วินาที — สูตรจึงเรียกเฉพาะแถวที่ไม่มีพิกัดเดิม</t>
        </is>
      </c>
    </row>
    <row r="26">
      <c r="B26" s="6" t="inlineStr">
        <is>
          <t xml:space="preserve">   ถ้าเปิดไฟล์ที่มีร้านหลายร้อยแถวพร้อมกันครั้งแรก ให้เผื่อเวลาและอย่ากดปิดกลางคัน</t>
        </is>
      </c>
    </row>
    <row r="27">
      <c r="B27" s="6" t="inlineStr">
        <is>
          <t>3. ความแม่นยำขึ้นกับคุณภาพข้อความที่อยู่ — ร้านเล็กในพื้นที่ชนบทอาจได้พิกัดระดับตำบลเท่านั้น</t>
        </is>
      </c>
    </row>
    <row r="28">
      <c r="B28" s="6" t="inlineStr">
        <is>
          <t xml:space="preserve">   จึงต้องมีปุ่มเปิดแผนที่ให้ตรวจด้วยตาเสมอ ไม่ควรเชื่อพิกัดที่ได้อัตโนมัติ 100%</t>
        </is>
      </c>
    </row>
    <row r="29">
      <c r="B29" s="6" t="inlineStr">
        <is>
          <t>4. แถวที่พื้นหลังสีเหลือง = แถวที่เดิมไม่มีพิกัด (ค่าที่เห็นมาจากการค้นหาอัตโนมัติ)</t>
        </is>
      </c>
    </row>
    <row r="30">
      <c r="B30" s="3" t="inlineStr"/>
    </row>
    <row r="31" ht="22" customHeight="1">
      <c r="B31" s="4" t="inlineStr">
        <is>
          <t>การนำไปใช้ต่อ</t>
        </is>
      </c>
    </row>
    <row r="32">
      <c r="B32" s="3" t="inlineStr">
        <is>
          <t>เพิ่มร้านใหม่: กรอกที่อยู่ในคอลัมน์ G, H, I แล้วลากสูตรคอลัมน์ L:O ลงมา ระบบหาพิกัดให้เอง</t>
        </is>
      </c>
    </row>
    <row r="33">
      <c r="B33" s="3" t="inlineStr">
        <is>
          <t>ชีต "สรุปเส้นทาง" นับจำนวนร้านแต่ละวันและจำนวนร้านที่ยังไม่มีพิกัด ให้เห็นภาพรวมก่อนออกหน้างาน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  <col width="18" customWidth="1" min="4" max="4"/>
    <col width="15" customWidth="1" min="5" max="5"/>
    <col width="16" customWidth="1" min="6" max="6"/>
    <col width="24" customWidth="1" min="7" max="7"/>
    <col width="38" customWidth="1" min="8" max="8"/>
    <col width="13" customWidth="1" min="9" max="9"/>
    <col width="18" customWidth="1" min="10" max="10"/>
    <col width="15" customWidth="1" min="11" max="11"/>
    <col width="46" customWidth="1" min="12" max="12"/>
    <col width="16" customWidth="1" min="13" max="13"/>
    <col width="16" customWidth="1" min="14" max="14"/>
    <col width="16" customWidth="1" min="15" max="15"/>
  </cols>
  <sheetData>
    <row r="1" ht="24" customHeight="1">
      <c r="A1" s="7" t="inlineStr">
        <is>
          <t>รายชื่อร้านค้าและพิกัด — ข้อมูลสมมติเพื่อสาธิตกลไก</t>
        </is>
      </c>
    </row>
    <row r="2" ht="32" customHeight="1">
      <c r="A2" s="8" t="inlineStr">
        <is>
          <t>รหัสร้าน</t>
        </is>
      </c>
      <c r="B2" s="8" t="inlineStr">
        <is>
          <t>ชื่อร้าน</t>
        </is>
      </c>
      <c r="C2" s="8" t="inlineStr">
        <is>
          <t>วันเยี่ยม</t>
        </is>
      </c>
      <c r="D2" s="8" t="inlineStr">
        <is>
          <t>ประเภทร้าน</t>
        </is>
      </c>
      <c r="E2" s="8" t="inlineStr">
        <is>
          <t>Latitude (เดิม)</t>
        </is>
      </c>
      <c r="F2" s="8" t="inlineStr">
        <is>
          <t>Longitude (เดิม)</t>
        </is>
      </c>
      <c r="G2" s="8" t="inlineStr">
        <is>
          <t>ที่อยู่</t>
        </is>
      </c>
      <c r="H2" s="8" t="inlineStr">
        <is>
          <t>ตำบล/อำเภอ/จังหวัด</t>
        </is>
      </c>
      <c r="I2" s="8" t="inlineStr">
        <is>
          <t>รหัสไปรษณีย์</t>
        </is>
      </c>
      <c r="J2" s="8" t="inlineStr">
        <is>
          <t>ผู้ติดต่อ</t>
        </is>
      </c>
      <c r="K2" s="8" t="inlineStr">
        <is>
          <t>เบอร์โทร</t>
        </is>
      </c>
      <c r="L2" s="8" t="inlineStr">
        <is>
          <t>ที่อยู่เต็ม (สูตร)</t>
        </is>
      </c>
      <c r="M2" s="8" t="inlineStr">
        <is>
          <t>Latitude สุดท้าย</t>
        </is>
      </c>
      <c r="N2" s="8" t="inlineStr">
        <is>
          <t>Longitude สุดท้าย</t>
        </is>
      </c>
      <c r="O2" s="8" t="inlineStr">
        <is>
          <t>เปิดแผนที่</t>
        </is>
      </c>
    </row>
    <row r="3">
      <c r="A3" s="9" t="inlineStr">
        <is>
          <t>DEMO-001</t>
        </is>
      </c>
      <c r="B3" s="9" t="inlineStr">
        <is>
          <t>ร้านชำลุงมา</t>
        </is>
      </c>
      <c r="C3" s="9" t="inlineStr">
        <is>
          <t>จันทร์</t>
        </is>
      </c>
      <c r="D3" s="9" t="inlineStr">
        <is>
          <t>ร้านของชำ</t>
        </is>
      </c>
      <c r="E3" s="9" t="n">
        <v>18.8055</v>
      </c>
      <c r="F3" s="9" t="n">
        <v>98.967</v>
      </c>
      <c r="G3" s="9" t="inlineStr">
        <is>
          <t>12/3 ถ.มรกต</t>
        </is>
      </c>
      <c r="H3" s="9" t="inlineStr">
        <is>
          <t>ต.ช้างเผือก อ.เมืองเชียงใหม่ จ.เชียงใหม่</t>
        </is>
      </c>
      <c r="I3" s="9" t="inlineStr">
        <is>
          <t>50300</t>
        </is>
      </c>
      <c r="J3" s="9" t="inlineStr">
        <is>
          <t>สมชาย ใจดี</t>
        </is>
      </c>
      <c r="K3" s="9" t="inlineStr">
        <is>
          <t>08x-xxx-1201</t>
        </is>
      </c>
      <c r="L3" s="10">
        <f>TRIM(G3&amp;" "&amp;H3&amp;" "&amp;I3)</f>
        <v/>
      </c>
      <c r="M3" s="11">
        <f>IF(E3&lt;&gt;"",E3,IFERROR(VALUE(FILTERXML(WEBSERVICE("https://nominatim.openstreetmap.org/search?format=xml&amp;limit=1&amp;q="&amp;ENCODEURL(L3)),"//place/@lat")),"ไม่พบพิกัด"))</f>
        <v/>
      </c>
      <c r="N3" s="11">
        <f>IF(F3&lt;&gt;"",F3,IFERROR(VALUE(FILTERXML(WEBSERVICE("https://nominatim.openstreetmap.org/search?format=xml&amp;limit=1&amp;q="&amp;ENCODEURL(L3)),"//place/@lon")),"ไม่พบพิกัด"))</f>
        <v/>
      </c>
      <c r="O3" s="12">
        <f>IF(AND(ISNUMBER(M3),ISNUMBER(N3)),HYPERLINK("https://www.google.com/maps?q="&amp;M3&amp;","&amp;N3,"เปิดหมุด"),HYPERLINK("https://www.google.com/maps/search/"&amp;ENCODEURL(L3),"ค้นหาเอง"))</f>
        <v/>
      </c>
    </row>
    <row r="4">
      <c r="A4" s="9" t="inlineStr">
        <is>
          <t>DEMO-002</t>
        </is>
      </c>
      <c r="B4" s="9" t="inlineStr">
        <is>
          <t>มินิมาร์ทบ้านสวน</t>
        </is>
      </c>
      <c r="C4" s="9" t="inlineStr">
        <is>
          <t>จันทร์</t>
        </is>
      </c>
      <c r="D4" s="9" t="inlineStr">
        <is>
          <t>มินิมาร์ท</t>
        </is>
      </c>
      <c r="E4" s="9" t="n">
        <v>18.7978</v>
      </c>
      <c r="F4" s="9" t="n">
        <v>98.9665</v>
      </c>
      <c r="G4" s="9" t="inlineStr">
        <is>
          <t>45 ถ.นิมมานเหมินท์</t>
        </is>
      </c>
      <c r="H4" s="9" t="inlineStr">
        <is>
          <t>ต.สุเทพ อ.เมืองเชียงใหม่ จ.เชียงใหม่</t>
        </is>
      </c>
      <c r="I4" s="9" t="inlineStr">
        <is>
          <t>50200</t>
        </is>
      </c>
      <c r="J4" s="9" t="inlineStr">
        <is>
          <t>วราภรณ์ แสงทอง</t>
        </is>
      </c>
      <c r="K4" s="9" t="inlineStr">
        <is>
          <t>08x-xxx-1202</t>
        </is>
      </c>
      <c r="L4" s="10">
        <f>TRIM(G4&amp;" "&amp;H4&amp;" "&amp;I4)</f>
        <v/>
      </c>
      <c r="M4" s="11">
        <f>IF(E4&lt;&gt;"",E4,IFERROR(VALUE(FILTERXML(WEBSERVICE("https://nominatim.openstreetmap.org/search?format=xml&amp;limit=1&amp;q="&amp;ENCODEURL(L4)),"//place/@lat")),"ไม่พบพิกัด"))</f>
        <v/>
      </c>
      <c r="N4" s="11">
        <f>IF(F4&lt;&gt;"",F4,IFERROR(VALUE(FILTERXML(WEBSERVICE("https://nominatim.openstreetmap.org/search?format=xml&amp;limit=1&amp;q="&amp;ENCODEURL(L4)),"//place/@lon")),"ไม่พบพิกัด"))</f>
        <v/>
      </c>
      <c r="O4" s="12">
        <f>IF(AND(ISNUMBER(M4),ISNUMBER(N4)),HYPERLINK("https://www.google.com/maps?q="&amp;M4&amp;","&amp;N4,"เปิดหมุด"),HYPERLINK("https://www.google.com/maps/search/"&amp;ENCODEURL(L4),"ค้นหาเอง"))</f>
        <v/>
      </c>
    </row>
    <row r="5">
      <c r="A5" s="9" t="inlineStr">
        <is>
          <t>DEMO-003</t>
        </is>
      </c>
      <c r="B5" s="9" t="inlineStr">
        <is>
          <t>คาเฟ่ริมคลอง</t>
        </is>
      </c>
      <c r="C5" s="9" t="inlineStr">
        <is>
          <t>จันทร์</t>
        </is>
      </c>
      <c r="D5" s="9" t="inlineStr">
        <is>
          <t>ร้านอาหาร/คาเฟ่</t>
        </is>
      </c>
      <c r="E5" s="9" t="n">
        <v>18.8019</v>
      </c>
      <c r="F5" s="9" t="n">
        <v>98.9511</v>
      </c>
      <c r="G5" s="9" t="inlineStr">
        <is>
          <t>239/7 ถ.ห้วยแก้ว</t>
        </is>
      </c>
      <c r="H5" s="9" t="inlineStr">
        <is>
          <t>ต.สุเทพ อ.เมืองเชียงใหม่ จ.เชียงใหม่</t>
        </is>
      </c>
      <c r="I5" s="9" t="inlineStr">
        <is>
          <t>50200</t>
        </is>
      </c>
      <c r="J5" s="9" t="inlineStr">
        <is>
          <t>ธนกร ทองสุข</t>
        </is>
      </c>
      <c r="K5" s="9" t="inlineStr">
        <is>
          <t>08x-xxx-1203</t>
        </is>
      </c>
      <c r="L5" s="10">
        <f>TRIM(G5&amp;" "&amp;H5&amp;" "&amp;I5)</f>
        <v/>
      </c>
      <c r="M5" s="11">
        <f>IF(E5&lt;&gt;"",E5,IFERROR(VALUE(FILTERXML(WEBSERVICE("https://nominatim.openstreetmap.org/search?format=xml&amp;limit=1&amp;q="&amp;ENCODEURL(L5)),"//place/@lat")),"ไม่พบพิกัด"))</f>
        <v/>
      </c>
      <c r="N5" s="11">
        <f>IF(F5&lt;&gt;"",F5,IFERROR(VALUE(FILTERXML(WEBSERVICE("https://nominatim.openstreetmap.org/search?format=xml&amp;limit=1&amp;q="&amp;ENCODEURL(L5)),"//place/@lon")),"ไม่พบพิกัด"))</f>
        <v/>
      </c>
      <c r="O5" s="12">
        <f>IF(AND(ISNUMBER(M5),ISNUMBER(N5)),HYPERLINK("https://www.google.com/maps?q="&amp;M5&amp;","&amp;N5,"เปิดหมุด"),HYPERLINK("https://www.google.com/maps/search/"&amp;ENCODEURL(L5),"ค้นหาเอง"))</f>
        <v/>
      </c>
    </row>
    <row r="6">
      <c r="A6" s="9" t="inlineStr">
        <is>
          <t>DEMO-004</t>
        </is>
      </c>
      <c r="B6" s="9" t="inlineStr">
        <is>
          <t>โชห่วยป้าน้อย</t>
        </is>
      </c>
      <c r="C6" s="9" t="inlineStr">
        <is>
          <t>อังคาร</t>
        </is>
      </c>
      <c r="D6" s="9" t="inlineStr">
        <is>
          <t>ร้านของชำ</t>
        </is>
      </c>
      <c r="E6" s="9" t="n">
        <v>18.8144</v>
      </c>
      <c r="F6" s="9" t="n">
        <v>98.9456</v>
      </c>
      <c r="G6" s="9" t="inlineStr">
        <is>
          <t>17 ม.2 ถ.สุเทพ</t>
        </is>
      </c>
      <c r="H6" s="9" t="inlineStr">
        <is>
          <t>ต.สุเทพ อ.เมืองเชียงใหม่ จ.เชียงใหม่</t>
        </is>
      </c>
      <c r="I6" s="9" t="inlineStr">
        <is>
          <t>50200</t>
        </is>
      </c>
      <c r="J6" s="9" t="inlineStr">
        <is>
          <t>นงลักษณ์ ศรีวรรณ</t>
        </is>
      </c>
      <c r="K6" s="9" t="inlineStr">
        <is>
          <t>08x-xxx-1204</t>
        </is>
      </c>
      <c r="L6" s="10">
        <f>TRIM(G6&amp;" "&amp;H6&amp;" "&amp;I6)</f>
        <v/>
      </c>
      <c r="M6" s="11">
        <f>IF(E6&lt;&gt;"",E6,IFERROR(VALUE(FILTERXML(WEBSERVICE("https://nominatim.openstreetmap.org/search?format=xml&amp;limit=1&amp;q="&amp;ENCODEURL(L6)),"//place/@lat")),"ไม่พบพิกัด"))</f>
        <v/>
      </c>
      <c r="N6" s="11">
        <f>IF(F6&lt;&gt;"",F6,IFERROR(VALUE(FILTERXML(WEBSERVICE("https://nominatim.openstreetmap.org/search?format=xml&amp;limit=1&amp;q="&amp;ENCODEURL(L6)),"//place/@lon")),"ไม่พบพิกัด"))</f>
        <v/>
      </c>
      <c r="O6" s="12">
        <f>IF(AND(ISNUMBER(M6),ISNUMBER(N6)),HYPERLINK("https://www.google.com/maps?q="&amp;M6&amp;","&amp;N6,"เปิดหมุด"),HYPERLINK("https://www.google.com/maps/search/"&amp;ENCODEURL(L6),"ค้นหาเอง"))</f>
        <v/>
      </c>
    </row>
    <row r="7">
      <c r="A7" s="9" t="inlineStr">
        <is>
          <t>DEMO-005</t>
        </is>
      </c>
      <c r="B7" s="9" t="inlineStr">
        <is>
          <t>ร้านสหกรณ์ชุมชน</t>
        </is>
      </c>
      <c r="C7" s="9" t="inlineStr">
        <is>
          <t>อังคาร</t>
        </is>
      </c>
      <c r="D7" s="9" t="inlineStr">
        <is>
          <t>สหกรณ์/โรงเรียน</t>
        </is>
      </c>
      <c r="E7" s="9" t="n">
        <v>18.8072</v>
      </c>
      <c r="F7" s="9" t="n">
        <v>98.9569</v>
      </c>
      <c r="G7" s="9" t="inlineStr">
        <is>
          <t>88 ถ.ช้างเผือก</t>
        </is>
      </c>
      <c r="H7" s="9" t="inlineStr">
        <is>
          <t>ต.ช้างเผือก อ.เมืองเชียงใหม่ จ.เชียงใหม่</t>
        </is>
      </c>
      <c r="I7" s="9" t="inlineStr">
        <is>
          <t>50300</t>
        </is>
      </c>
      <c r="J7" s="9" t="inlineStr">
        <is>
          <t>ประยุทธ์ คำมูล</t>
        </is>
      </c>
      <c r="K7" s="9" t="inlineStr">
        <is>
          <t>08x-xxx-1205</t>
        </is>
      </c>
      <c r="L7" s="10">
        <f>TRIM(G7&amp;" "&amp;H7&amp;" "&amp;I7)</f>
        <v/>
      </c>
      <c r="M7" s="11">
        <f>IF(E7&lt;&gt;"",E7,IFERROR(VALUE(FILTERXML(WEBSERVICE("https://nominatim.openstreetmap.org/search?format=xml&amp;limit=1&amp;q="&amp;ENCODEURL(L7)),"//place/@lat")),"ไม่พบพิกัด"))</f>
        <v/>
      </c>
      <c r="N7" s="11">
        <f>IF(F7&lt;&gt;"",F7,IFERROR(VALUE(FILTERXML(WEBSERVICE("https://nominatim.openstreetmap.org/search?format=xml&amp;limit=1&amp;q="&amp;ENCODEURL(L7)),"//place/@lon")),"ไม่พบพิกัด"))</f>
        <v/>
      </c>
      <c r="O7" s="12">
        <f>IF(AND(ISNUMBER(M7),ISNUMBER(N7)),HYPERLINK("https://www.google.com/maps?q="&amp;M7&amp;","&amp;N7,"เปิดหมุด"),HYPERLINK("https://www.google.com/maps/search/"&amp;ENCODEURL(L7),"ค้นหาเอง"))</f>
        <v/>
      </c>
    </row>
    <row r="8">
      <c r="A8" s="9" t="inlineStr">
        <is>
          <t>DEMO-006</t>
        </is>
      </c>
      <c r="B8" s="9" t="inlineStr">
        <is>
          <t>มินิมาร์ทสี่แยกใหม่</t>
        </is>
      </c>
      <c r="C8" s="9" t="inlineStr">
        <is>
          <t>อังคาร</t>
        </is>
      </c>
      <c r="D8" s="9" t="inlineStr">
        <is>
          <t>มินิมาร์ท</t>
        </is>
      </c>
      <c r="E8" s="9" t="n"/>
      <c r="F8" s="9" t="n"/>
      <c r="G8" s="9" t="inlineStr">
        <is>
          <t>102 ถ.โชตนา</t>
        </is>
      </c>
      <c r="H8" s="9" t="inlineStr">
        <is>
          <t>ต.ช้างเผือก อ.เมืองเชียงใหม่ จ.เชียงใหม่</t>
        </is>
      </c>
      <c r="I8" s="9" t="inlineStr">
        <is>
          <t>50300</t>
        </is>
      </c>
      <c r="J8" s="9" t="inlineStr">
        <is>
          <t>อารีย์ พงษ์ไทย</t>
        </is>
      </c>
      <c r="K8" s="9" t="inlineStr">
        <is>
          <t>08x-xxx-1206</t>
        </is>
      </c>
      <c r="L8" s="10">
        <f>TRIM(G8&amp;" "&amp;H8&amp;" "&amp;I8)</f>
        <v/>
      </c>
      <c r="M8" s="11">
        <f>IF(E8&lt;&gt;"",E8,IFERROR(VALUE(FILTERXML(WEBSERVICE("https://nominatim.openstreetmap.org/search?format=xml&amp;limit=1&amp;q="&amp;ENCODEURL(L8)),"//place/@lat")),"ไม่พบพิกัด"))</f>
        <v/>
      </c>
      <c r="N8" s="11">
        <f>IF(F8&lt;&gt;"",F8,IFERROR(VALUE(FILTERXML(WEBSERVICE("https://nominatim.openstreetmap.org/search?format=xml&amp;limit=1&amp;q="&amp;ENCODEURL(L8)),"//place/@lon")),"ไม่พบพิกัด"))</f>
        <v/>
      </c>
      <c r="O8" s="12">
        <f>IF(AND(ISNUMBER(M8),ISNUMBER(N8)),HYPERLINK("https://www.google.com/maps?q="&amp;M8&amp;","&amp;N8,"เปิดหมุด"),HYPERLINK("https://www.google.com/maps/search/"&amp;ENCODEURL(L8),"ค้นหาเอง"))</f>
        <v/>
      </c>
    </row>
    <row r="9">
      <c r="A9" s="9" t="inlineStr">
        <is>
          <t>DEMO-007</t>
        </is>
      </c>
      <c r="B9" s="9" t="inlineStr">
        <is>
          <t>ร้านกาแฟหน้าวัด</t>
        </is>
      </c>
      <c r="C9" s="9" t="inlineStr">
        <is>
          <t>พุธ</t>
        </is>
      </c>
      <c r="D9" s="9" t="inlineStr">
        <is>
          <t>ร้านอาหาร/คาเฟ่</t>
        </is>
      </c>
      <c r="E9" s="9" t="n"/>
      <c r="F9" s="9" t="n"/>
      <c r="G9" s="9" t="inlineStr">
        <is>
          <t>9/1 ถ.มณีนพรัตน์</t>
        </is>
      </c>
      <c r="H9" s="9" t="inlineStr">
        <is>
          <t>ต.ศรีภูมิ อ.เมืองเชียงใหม่ จ.เชียงใหม่</t>
        </is>
      </c>
      <c r="I9" s="9" t="inlineStr">
        <is>
          <t>50200</t>
        </is>
      </c>
      <c r="J9" s="9" t="inlineStr">
        <is>
          <t>กิตติ ชัยวงศ์</t>
        </is>
      </c>
      <c r="K9" s="9" t="inlineStr">
        <is>
          <t>08x-xxx-1207</t>
        </is>
      </c>
      <c r="L9" s="10">
        <f>TRIM(G9&amp;" "&amp;H9&amp;" "&amp;I9)</f>
        <v/>
      </c>
      <c r="M9" s="11">
        <f>IF(E9&lt;&gt;"",E9,IFERROR(VALUE(FILTERXML(WEBSERVICE("https://nominatim.openstreetmap.org/search?format=xml&amp;limit=1&amp;q="&amp;ENCODEURL(L9)),"//place/@lat")),"ไม่พบพิกัด"))</f>
        <v/>
      </c>
      <c r="N9" s="11">
        <f>IF(F9&lt;&gt;"",F9,IFERROR(VALUE(FILTERXML(WEBSERVICE("https://nominatim.openstreetmap.org/search?format=xml&amp;limit=1&amp;q="&amp;ENCODEURL(L9)),"//place/@lon")),"ไม่พบพิกัด"))</f>
        <v/>
      </c>
      <c r="O9" s="12">
        <f>IF(AND(ISNUMBER(M9),ISNUMBER(N9)),HYPERLINK("https://www.google.com/maps?q="&amp;M9&amp;","&amp;N9,"เปิดหมุด"),HYPERLINK("https://www.google.com/maps/search/"&amp;ENCODEURL(L9),"ค้นหาเอง"))</f>
        <v/>
      </c>
    </row>
    <row r="10">
      <c r="A10" s="9" t="inlineStr">
        <is>
          <t>DEMO-008</t>
        </is>
      </c>
      <c r="B10" s="9" t="inlineStr">
        <is>
          <t>ของฝากแม่ริม</t>
        </is>
      </c>
      <c r="C10" s="9" t="inlineStr">
        <is>
          <t>พุธ</t>
        </is>
      </c>
      <c r="D10" s="9" t="inlineStr">
        <is>
          <t>ของฝาก</t>
        </is>
      </c>
      <c r="E10" s="9" t="n"/>
      <c r="F10" s="9" t="n"/>
      <c r="G10" s="9" t="inlineStr">
        <is>
          <t>76/1 ม.7 ถ.แม่ริม-สะเมิง</t>
        </is>
      </c>
      <c r="H10" s="9" t="inlineStr">
        <is>
          <t>ต.ริมใต้ อ.แม่ริม จ.เชียงใหม่</t>
        </is>
      </c>
      <c r="I10" s="9" t="inlineStr">
        <is>
          <t>50180</t>
        </is>
      </c>
      <c r="J10" s="9" t="inlineStr">
        <is>
          <t>สุดา อินต๊ะ</t>
        </is>
      </c>
      <c r="K10" s="9" t="inlineStr">
        <is>
          <t>08x-xxx-1208</t>
        </is>
      </c>
      <c r="L10" s="10">
        <f>TRIM(G10&amp;" "&amp;H10&amp;" "&amp;I10)</f>
        <v/>
      </c>
      <c r="M10" s="11">
        <f>IF(E10&lt;&gt;"",E10,IFERROR(VALUE(FILTERXML(WEBSERVICE("https://nominatim.openstreetmap.org/search?format=xml&amp;limit=1&amp;q="&amp;ENCODEURL(L10)),"//place/@lat")),"ไม่พบพิกัด"))</f>
        <v/>
      </c>
      <c r="N10" s="11">
        <f>IF(F10&lt;&gt;"",F10,IFERROR(VALUE(FILTERXML(WEBSERVICE("https://nominatim.openstreetmap.org/search?format=xml&amp;limit=1&amp;q="&amp;ENCODEURL(L10)),"//place/@lon")),"ไม่พบพิกัด"))</f>
        <v/>
      </c>
      <c r="O10" s="12">
        <f>IF(AND(ISNUMBER(M10),ISNUMBER(N10)),HYPERLINK("https://www.google.com/maps?q="&amp;M10&amp;","&amp;N10,"เปิดหมุด"),HYPERLINK("https://www.google.com/maps/search/"&amp;ENCODEURL(L10),"ค้นหาเอง"))</f>
        <v/>
      </c>
    </row>
    <row r="11">
      <c r="A11" s="9" t="inlineStr">
        <is>
          <t>DEMO-009</t>
        </is>
      </c>
      <c r="B11" s="9" t="inlineStr">
        <is>
          <t>ร้านชำบ้านทุ่ง</t>
        </is>
      </c>
      <c r="C11" s="9" t="inlineStr">
        <is>
          <t>พุธ</t>
        </is>
      </c>
      <c r="D11" s="9" t="inlineStr">
        <is>
          <t>ร้านของชำ</t>
        </is>
      </c>
      <c r="E11" s="9" t="n"/>
      <c r="F11" s="9" t="n"/>
      <c r="G11" s="9" t="inlineStr">
        <is>
          <t>54/2 ม.3</t>
        </is>
      </c>
      <c r="H11" s="9" t="inlineStr">
        <is>
          <t>ต.แม่สา อ.แม่ริม จ.เชียงใหม่</t>
        </is>
      </c>
      <c r="I11" s="9" t="inlineStr">
        <is>
          <t>50180</t>
        </is>
      </c>
      <c r="J11" s="9" t="inlineStr">
        <is>
          <t>บุญมี ตาคำ</t>
        </is>
      </c>
      <c r="K11" s="9" t="inlineStr">
        <is>
          <t>08x-xxx-1209</t>
        </is>
      </c>
      <c r="L11" s="10">
        <f>TRIM(G11&amp;" "&amp;H11&amp;" "&amp;I11)</f>
        <v/>
      </c>
      <c r="M11" s="11">
        <f>IF(E11&lt;&gt;"",E11,IFERROR(VALUE(FILTERXML(WEBSERVICE("https://nominatim.openstreetmap.org/search?format=xml&amp;limit=1&amp;q="&amp;ENCODEURL(L11)),"//place/@lat")),"ไม่พบพิกัด"))</f>
        <v/>
      </c>
      <c r="N11" s="11">
        <f>IF(F11&lt;&gt;"",F11,IFERROR(VALUE(FILTERXML(WEBSERVICE("https://nominatim.openstreetmap.org/search?format=xml&amp;limit=1&amp;q="&amp;ENCODEURL(L11)),"//place/@lon")),"ไม่พบพิกัด"))</f>
        <v/>
      </c>
      <c r="O11" s="12">
        <f>IF(AND(ISNUMBER(M11),ISNUMBER(N11)),HYPERLINK("https://www.google.com/maps?q="&amp;M11&amp;","&amp;N11,"เปิดหมุด"),HYPERLINK("https://www.google.com/maps/search/"&amp;ENCODEURL(L11),"ค้นหาเอง"))</f>
        <v/>
      </c>
    </row>
    <row r="12">
      <c r="A12" s="9" t="inlineStr">
        <is>
          <t>DEMO-010</t>
        </is>
      </c>
      <c r="B12" s="9" t="inlineStr">
        <is>
          <t>มินิมาร์ทสายสัมพันธ์</t>
        </is>
      </c>
      <c r="C12" s="9" t="inlineStr">
        <is>
          <t>พฤหัสบดี</t>
        </is>
      </c>
      <c r="D12" s="9" t="inlineStr">
        <is>
          <t>มินิมาร์ท</t>
        </is>
      </c>
      <c r="E12" s="9" t="n"/>
      <c r="F12" s="9" t="n"/>
      <c r="G12" s="9" t="inlineStr">
        <is>
          <t>65/3 ม.12</t>
        </is>
      </c>
      <c r="H12" s="9" t="inlineStr">
        <is>
          <t>ต.แม่สา อ.แม่ริม จ.เชียงใหม่</t>
        </is>
      </c>
      <c r="I12" s="9" t="inlineStr">
        <is>
          <t>50180</t>
        </is>
      </c>
      <c r="J12" s="9" t="inlineStr">
        <is>
          <t>จันทร์เพ็ญ ดวงดี</t>
        </is>
      </c>
      <c r="K12" s="9" t="inlineStr">
        <is>
          <t>08x-xxx-1210</t>
        </is>
      </c>
      <c r="L12" s="10">
        <f>TRIM(G12&amp;" "&amp;H12&amp;" "&amp;I12)</f>
        <v/>
      </c>
      <c r="M12" s="11">
        <f>IF(E12&lt;&gt;"",E12,IFERROR(VALUE(FILTERXML(WEBSERVICE("https://nominatim.openstreetmap.org/search?format=xml&amp;limit=1&amp;q="&amp;ENCODEURL(L12)),"//place/@lat")),"ไม่พบพิกัด"))</f>
        <v/>
      </c>
      <c r="N12" s="11">
        <f>IF(F12&lt;&gt;"",F12,IFERROR(VALUE(FILTERXML(WEBSERVICE("https://nominatim.openstreetmap.org/search?format=xml&amp;limit=1&amp;q="&amp;ENCODEURL(L12)),"//place/@lon")),"ไม่พบพิกัด"))</f>
        <v/>
      </c>
      <c r="O12" s="12">
        <f>IF(AND(ISNUMBER(M12),ISNUMBER(N12)),HYPERLINK("https://www.google.com/maps?q="&amp;M12&amp;","&amp;N12,"เปิดหมุด"),HYPERLINK("https://www.google.com/maps/search/"&amp;ENCODEURL(L12),"ค้นหาเอง"))</f>
        <v/>
      </c>
    </row>
    <row r="13">
      <c r="A13" s="9" t="inlineStr">
        <is>
          <t>DEMO-011</t>
        </is>
      </c>
      <c r="B13" s="9" t="inlineStr">
        <is>
          <t>ร้านอาหารต้นน้ำ</t>
        </is>
      </c>
      <c r="C13" s="9" t="inlineStr">
        <is>
          <t>พฤหัสบดี</t>
        </is>
      </c>
      <c r="D13" s="9" t="inlineStr">
        <is>
          <t>ร้านอาหาร/คาเฟ่</t>
        </is>
      </c>
      <c r="E13" s="9" t="n"/>
      <c r="F13" s="9" t="n"/>
      <c r="G13" s="9" t="inlineStr">
        <is>
          <t>138/4 ม.6</t>
        </is>
      </c>
      <c r="H13" s="9" t="inlineStr">
        <is>
          <t>ต.สันทราย อ.สันทราย จ.เชียงใหม่</t>
        </is>
      </c>
      <c r="I13" s="9" t="inlineStr">
        <is>
          <t>50210</t>
        </is>
      </c>
      <c r="J13" s="9" t="inlineStr">
        <is>
          <t>วิชัย มณีรัตน์</t>
        </is>
      </c>
      <c r="K13" s="9" t="inlineStr">
        <is>
          <t>08x-xxx-1211</t>
        </is>
      </c>
      <c r="L13" s="10">
        <f>TRIM(G13&amp;" "&amp;H13&amp;" "&amp;I13)</f>
        <v/>
      </c>
      <c r="M13" s="11">
        <f>IF(E13&lt;&gt;"",E13,IFERROR(VALUE(FILTERXML(WEBSERVICE("https://nominatim.openstreetmap.org/search?format=xml&amp;limit=1&amp;q="&amp;ENCODEURL(L13)),"//place/@lat")),"ไม่พบพิกัด"))</f>
        <v/>
      </c>
      <c r="N13" s="11">
        <f>IF(F13&lt;&gt;"",F13,IFERROR(VALUE(FILTERXML(WEBSERVICE("https://nominatim.openstreetmap.org/search?format=xml&amp;limit=1&amp;q="&amp;ENCODEURL(L13)),"//place/@lon")),"ไม่พบพิกัด"))</f>
        <v/>
      </c>
      <c r="O13" s="12">
        <f>IF(AND(ISNUMBER(M13),ISNUMBER(N13)),HYPERLINK("https://www.google.com/maps?q="&amp;M13&amp;","&amp;N13,"เปิดหมุด"),HYPERLINK("https://www.google.com/maps/search/"&amp;ENCODEURL(L13),"ค้นหาเอง"))</f>
        <v/>
      </c>
    </row>
    <row r="14">
      <c r="A14" s="9" t="inlineStr">
        <is>
          <t>DEMO-012</t>
        </is>
      </c>
      <c r="B14" s="9" t="inlineStr">
        <is>
          <t>ร้านชำสามแยก</t>
        </is>
      </c>
      <c r="C14" s="9" t="inlineStr">
        <is>
          <t>พฤหัสบดี</t>
        </is>
      </c>
      <c r="D14" s="9" t="inlineStr">
        <is>
          <t>ร้านของชำ</t>
        </is>
      </c>
      <c r="E14" s="9" t="n"/>
      <c r="F14" s="9" t="n"/>
      <c r="G14" s="9" t="inlineStr">
        <is>
          <t>24 ม.2</t>
        </is>
      </c>
      <c r="H14" s="9" t="inlineStr">
        <is>
          <t>ต.หนองหอย อ.เมืองเชียงใหม่ จ.เชียงใหม่</t>
        </is>
      </c>
      <c r="I14" s="9" t="inlineStr">
        <is>
          <t>50000</t>
        </is>
      </c>
      <c r="J14" s="9" t="inlineStr">
        <is>
          <t>สมพร แก้วมา</t>
        </is>
      </c>
      <c r="K14" s="9" t="inlineStr">
        <is>
          <t>08x-xxx-1212</t>
        </is>
      </c>
      <c r="L14" s="10">
        <f>TRIM(G14&amp;" "&amp;H14&amp;" "&amp;I14)</f>
        <v/>
      </c>
      <c r="M14" s="11">
        <f>IF(E14&lt;&gt;"",E14,IFERROR(VALUE(FILTERXML(WEBSERVICE("https://nominatim.openstreetmap.org/search?format=xml&amp;limit=1&amp;q="&amp;ENCODEURL(L14)),"//place/@lat")),"ไม่พบพิกัด"))</f>
        <v/>
      </c>
      <c r="N14" s="11">
        <f>IF(F14&lt;&gt;"",F14,IFERROR(VALUE(FILTERXML(WEBSERVICE("https://nominatim.openstreetmap.org/search?format=xml&amp;limit=1&amp;q="&amp;ENCODEURL(L14)),"//place/@lon")),"ไม่พบพิกัด"))</f>
        <v/>
      </c>
      <c r="O14" s="12">
        <f>IF(AND(ISNUMBER(M14),ISNUMBER(N14)),HYPERLINK("https://www.google.com/maps?q="&amp;M14&amp;","&amp;N14,"เปิดหมุด"),HYPERLINK("https://www.google.com/maps/search/"&amp;ENCODEURL(L14),"ค้นหาเอง"))</f>
        <v/>
      </c>
    </row>
    <row r="15">
      <c r="A15" s="9" t="inlineStr">
        <is>
          <t>DEMO-013</t>
        </is>
      </c>
      <c r="B15" s="9" t="inlineStr">
        <is>
          <t>คาเฟ่ดอยหลวง</t>
        </is>
      </c>
      <c r="C15" s="9" t="inlineStr">
        <is>
          <t>ศุกร์</t>
        </is>
      </c>
      <c r="D15" s="9" t="inlineStr">
        <is>
          <t>ร้านอาหาร/คาเฟ่</t>
        </is>
      </c>
      <c r="E15" s="9" t="n"/>
      <c r="F15" s="9" t="n"/>
      <c r="G15" s="9" t="inlineStr">
        <is>
          <t>40/5 ม.11</t>
        </is>
      </c>
      <c r="H15" s="9" t="inlineStr">
        <is>
          <t>ต.แม่แรม อ.แม่ริม จ.เชียงใหม่</t>
        </is>
      </c>
      <c r="I15" s="9" t="inlineStr">
        <is>
          <t>50180</t>
        </is>
      </c>
      <c r="J15" s="9" t="inlineStr">
        <is>
          <t>นภา สุริยะ</t>
        </is>
      </c>
      <c r="K15" s="9" t="inlineStr">
        <is>
          <t>08x-xxx-1213</t>
        </is>
      </c>
      <c r="L15" s="10">
        <f>TRIM(G15&amp;" "&amp;H15&amp;" "&amp;I15)</f>
        <v/>
      </c>
      <c r="M15" s="11">
        <f>IF(E15&lt;&gt;"",E15,IFERROR(VALUE(FILTERXML(WEBSERVICE("https://nominatim.openstreetmap.org/search?format=xml&amp;limit=1&amp;q="&amp;ENCODEURL(L15)),"//place/@lat")),"ไม่พบพิกัด"))</f>
        <v/>
      </c>
      <c r="N15" s="11">
        <f>IF(F15&lt;&gt;"",F15,IFERROR(VALUE(FILTERXML(WEBSERVICE("https://nominatim.openstreetmap.org/search?format=xml&amp;limit=1&amp;q="&amp;ENCODEURL(L15)),"//place/@lon")),"ไม่พบพิกัด"))</f>
        <v/>
      </c>
      <c r="O15" s="12">
        <f>IF(AND(ISNUMBER(M15),ISNUMBER(N15)),HYPERLINK("https://www.google.com/maps?q="&amp;M15&amp;","&amp;N15,"เปิดหมุด"),HYPERLINK("https://www.google.com/maps/search/"&amp;ENCODEURL(L15),"ค้นหาเอง"))</f>
        <v/>
      </c>
    </row>
    <row r="16">
      <c r="A16" s="9" t="inlineStr">
        <is>
          <t>DEMO-014</t>
        </is>
      </c>
      <c r="B16" s="9" t="inlineStr">
        <is>
          <t>มินิมาร์ทตลาดเช้า</t>
        </is>
      </c>
      <c r="C16" s="9" t="inlineStr">
        <is>
          <t>ศุกร์</t>
        </is>
      </c>
      <c r="D16" s="9" t="inlineStr">
        <is>
          <t>มินิมาร์ท</t>
        </is>
      </c>
      <c r="E16" s="9" t="n"/>
      <c r="F16" s="9" t="n"/>
      <c r="G16" s="9" t="inlineStr">
        <is>
          <t>163/1 ถ.แม่วาง</t>
        </is>
      </c>
      <c r="H16" s="9" t="inlineStr">
        <is>
          <t>ต.บ้านกาด อ.แม่วาง จ.เชียงใหม่</t>
        </is>
      </c>
      <c r="I16" s="9" t="inlineStr">
        <is>
          <t>50360</t>
        </is>
      </c>
      <c r="J16" s="9" t="inlineStr">
        <is>
          <t>เสาวลักษณ์ ปันดี</t>
        </is>
      </c>
      <c r="K16" s="9" t="inlineStr">
        <is>
          <t>08x-xxx-1214</t>
        </is>
      </c>
      <c r="L16" s="10">
        <f>TRIM(G16&amp;" "&amp;H16&amp;" "&amp;I16)</f>
        <v/>
      </c>
      <c r="M16" s="11">
        <f>IF(E16&lt;&gt;"",E16,IFERROR(VALUE(FILTERXML(WEBSERVICE("https://nominatim.openstreetmap.org/search?format=xml&amp;limit=1&amp;q="&amp;ENCODEURL(L16)),"//place/@lat")),"ไม่พบพิกัด"))</f>
        <v/>
      </c>
      <c r="N16" s="11">
        <f>IF(F16&lt;&gt;"",F16,IFERROR(VALUE(FILTERXML(WEBSERVICE("https://nominatim.openstreetmap.org/search?format=xml&amp;limit=1&amp;q="&amp;ENCODEURL(L16)),"//place/@lon")),"ไม่พบพิกัด"))</f>
        <v/>
      </c>
      <c r="O16" s="12">
        <f>IF(AND(ISNUMBER(M16),ISNUMBER(N16)),HYPERLINK("https://www.google.com/maps?q="&amp;M16&amp;","&amp;N16,"เปิดหมุด"),HYPERLINK("https://www.google.com/maps/search/"&amp;ENCODEURL(L16),"ค้นหาเอง"))</f>
        <v/>
      </c>
    </row>
    <row r="17">
      <c r="A17" s="9" t="inlineStr">
        <is>
          <t>DEMO-015</t>
        </is>
      </c>
      <c r="B17" s="9" t="inlineStr">
        <is>
          <t>ร้านของชำปลายทาง</t>
        </is>
      </c>
      <c r="C17" s="9" t="inlineStr">
        <is>
          <t>ศุกร์</t>
        </is>
      </c>
      <c r="D17" s="9" t="inlineStr">
        <is>
          <t>ร้านของชำ</t>
        </is>
      </c>
      <c r="E17" s="9" t="n"/>
      <c r="F17" s="9" t="n"/>
      <c r="G17" s="9" t="inlineStr">
        <is>
          <t>14 ม.1</t>
        </is>
      </c>
      <c r="H17" s="9" t="inlineStr">
        <is>
          <t>ต.แม่วิน อ.แม่วาง จ.เชียงใหม่</t>
        </is>
      </c>
      <c r="I17" s="9" t="inlineStr">
        <is>
          <t>50360</t>
        </is>
      </c>
      <c r="J17" s="9" t="inlineStr">
        <is>
          <t>ทองดี ไชยา</t>
        </is>
      </c>
      <c r="K17" s="9" t="inlineStr">
        <is>
          <t>08x-xxx-1215</t>
        </is>
      </c>
      <c r="L17" s="10">
        <f>TRIM(G17&amp;" "&amp;H17&amp;" "&amp;I17)</f>
        <v/>
      </c>
      <c r="M17" s="11">
        <f>IF(E17&lt;&gt;"",E17,IFERROR(VALUE(FILTERXML(WEBSERVICE("https://nominatim.openstreetmap.org/search?format=xml&amp;limit=1&amp;q="&amp;ENCODEURL(L17)),"//place/@lat")),"ไม่พบพิกัด"))</f>
        <v/>
      </c>
      <c r="N17" s="11">
        <f>IF(F17&lt;&gt;"",F17,IFERROR(VALUE(FILTERXML(WEBSERVICE("https://nominatim.openstreetmap.org/search?format=xml&amp;limit=1&amp;q="&amp;ENCODEURL(L17)),"//place/@lon")),"ไม่พบพิกัด"))</f>
        <v/>
      </c>
      <c r="O17" s="12">
        <f>IF(AND(ISNUMBER(M17),ISNUMBER(N17)),HYPERLINK("https://www.google.com/maps?q="&amp;M17&amp;","&amp;N17,"เปิดหมุด"),HYPERLINK("https://www.google.com/maps/search/"&amp;ENCODEURL(L17),"ค้นหาเอง"))</f>
        <v/>
      </c>
    </row>
  </sheetData>
  <autoFilter ref="A2:O17"/>
  <mergeCells count="1">
    <mergeCell ref="A1:O1"/>
  </mergeCells>
  <conditionalFormatting sqref="A3:O17">
    <cfRule type="expression" priority="1" dxfId="0" stopIfTrue="0">
      <formula>$E3=""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22" customWidth="1" min="4" max="4"/>
    <col width="20" customWidth="1" min="5" max="5"/>
  </cols>
  <sheetData>
    <row r="2">
      <c r="B2" s="13" t="inlineStr">
        <is>
          <t>สรุปเส้นทางเยี่ยมร้านรายสัปดาห์</t>
        </is>
      </c>
    </row>
    <row r="4" ht="28" customHeight="1">
      <c r="B4" s="8" t="inlineStr">
        <is>
          <t>วันเยี่ยม</t>
        </is>
      </c>
      <c r="C4" s="8" t="inlineStr">
        <is>
          <t>จำนวนร้าน</t>
        </is>
      </c>
      <c r="D4" s="8" t="inlineStr">
        <is>
          <t>ยังไม่มีพิกัดเดิม</t>
        </is>
      </c>
      <c r="E4" s="8" t="inlineStr">
        <is>
          <t>สัดส่วนที่ต้องค้นหา</t>
        </is>
      </c>
    </row>
    <row r="5">
      <c r="B5" s="14" t="inlineStr">
        <is>
          <t>จันทร์</t>
        </is>
      </c>
      <c r="C5" s="15">
        <f>COUNTIF('รายชื่อร้าน'!$C$3:$C$17,$B5)</f>
        <v/>
      </c>
      <c r="D5" s="15">
        <f>COUNTIFS('รายชื่อร้าน'!$C$3:$C$17,$B5,'รายชื่อร้าน'!$E$3:$E$17,"")</f>
        <v/>
      </c>
      <c r="E5" s="15">
        <f>IF($C5=0,"-",TEXT($D5/$C5,"0%"))</f>
        <v/>
      </c>
    </row>
    <row r="6">
      <c r="B6" s="14" t="inlineStr">
        <is>
          <t>อังคาร</t>
        </is>
      </c>
      <c r="C6" s="15">
        <f>COUNTIF('รายชื่อร้าน'!$C$3:$C$17,$B6)</f>
        <v/>
      </c>
      <c r="D6" s="15">
        <f>COUNTIFS('รายชื่อร้าน'!$C$3:$C$17,$B6,'รายชื่อร้าน'!$E$3:$E$17,"")</f>
        <v/>
      </c>
      <c r="E6" s="15">
        <f>IF($C6=0,"-",TEXT($D6/$C6,"0%"))</f>
        <v/>
      </c>
    </row>
    <row r="7">
      <c r="B7" s="14" t="inlineStr">
        <is>
          <t>พุธ</t>
        </is>
      </c>
      <c r="C7" s="15">
        <f>COUNTIF('รายชื่อร้าน'!$C$3:$C$17,$B7)</f>
        <v/>
      </c>
      <c r="D7" s="15">
        <f>COUNTIFS('รายชื่อร้าน'!$C$3:$C$17,$B7,'รายชื่อร้าน'!$E$3:$E$17,"")</f>
        <v/>
      </c>
      <c r="E7" s="15">
        <f>IF($C7=0,"-",TEXT($D7/$C7,"0%"))</f>
        <v/>
      </c>
    </row>
    <row r="8">
      <c r="B8" s="14" t="inlineStr">
        <is>
          <t>พฤหัสบดี</t>
        </is>
      </c>
      <c r="C8" s="15">
        <f>COUNTIF('รายชื่อร้าน'!$C$3:$C$17,$B8)</f>
        <v/>
      </c>
      <c r="D8" s="15">
        <f>COUNTIFS('รายชื่อร้าน'!$C$3:$C$17,$B8,'รายชื่อร้าน'!$E$3:$E$17,"")</f>
        <v/>
      </c>
      <c r="E8" s="15">
        <f>IF($C8=0,"-",TEXT($D8/$C8,"0%"))</f>
        <v/>
      </c>
    </row>
    <row r="9">
      <c r="B9" s="14" t="inlineStr">
        <is>
          <t>ศุกร์</t>
        </is>
      </c>
      <c r="C9" s="15">
        <f>COUNTIF('รายชื่อร้าน'!$C$3:$C$17,$B9)</f>
        <v/>
      </c>
      <c r="D9" s="15">
        <f>COUNTIFS('รายชื่อร้าน'!$C$3:$C$17,$B9,'รายชื่อร้าน'!$E$3:$E$17,"")</f>
        <v/>
      </c>
      <c r="E9" s="15">
        <f>IF($C9=0,"-",TEXT($D9/$C9,"0%"))</f>
        <v/>
      </c>
    </row>
    <row r="10">
      <c r="B10" s="16" t="inlineStr">
        <is>
          <t>รวม</t>
        </is>
      </c>
      <c r="C10" s="17">
        <f>SUM(C5:C9)</f>
        <v/>
      </c>
      <c r="D10" s="17">
        <f>SUM(D5:D9)</f>
        <v/>
      </c>
      <c r="E10" s="17">
        <f>IF($C10=0,"-",TEXT($D10/$C10,"0%"))</f>
        <v/>
      </c>
    </row>
    <row r="12">
      <c r="B12" s="18" t="inlineStr">
        <is>
          <t>ตัวเลขคอลัมน์ "ยังไม่มีพิกัดเดิม" คือจำนวนแถวที่ระบบต้องเรียก API ค้นหาให้</t>
        </is>
      </c>
    </row>
    <row r="13">
      <c r="B13" s="18" t="inlineStr">
        <is>
          <t>ใช้ประเมินเวลาโหลดครั้งแรกได้ (Nominatim จำกัดราว 1 คำขอ/วินาที)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2026-08-08T06:39:21Z</dcterms:created>
  <dcterms:modified xsi:type="dcterms:W3CDTF">2026-08-08T06:39:21Z</dcterms:modified>
</cp:coreProperties>
</file>