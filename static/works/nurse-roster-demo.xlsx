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ตารางเวร" sheetId="1" state="visible" r:id="rId1"/>
    <sheet name="คำนวณ" sheetId="2" state="hidden" r:id="rId2"/>
    <sheet name="จัดเวรรายวัน" sheetId="3" state="visible" r:id="rId3"/>
    <sheet name="สรุป" sheetId="4" state="visible" r:id="rId4"/>
    <sheet name="ตรวจสอบ" sheetId="5" state="visible" r:id="rId5"/>
  </sheets>
  <definedNames>
    <definedName name="_xlnm.Print_Titles" localSheetId="2">'จัดเวรรายวัน'!$1:$3</definedName>
    <definedName name="_xlnm.Print_Area" localSheetId="2">'จัดเวรรายวัน'!$A$1:$O$34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Tahoma"/>
      <b val="1"/>
      <color rgb="00FFFFFF"/>
      <sz val="12"/>
    </font>
    <font>
      <name val="Tahoma"/>
      <b val="1"/>
      <sz val="10"/>
    </font>
    <font>
      <name val="Tahoma"/>
      <b val="1"/>
      <sz val="11"/>
    </font>
    <font>
      <name val="Tahoma"/>
      <sz val="9"/>
    </font>
    <font>
      <name val="Tahoma"/>
      <b val="1"/>
      <sz val="9"/>
    </font>
    <font>
      <name val="Tahoma"/>
      <b val="1"/>
      <color rgb="00FFFFFF"/>
      <sz val="10"/>
    </font>
    <font>
      <name val="Tahoma"/>
      <sz val="10"/>
    </font>
    <font>
      <name val="Tahoma"/>
      <b val="1"/>
      <color rgb="00FFFFFF"/>
      <sz val="8"/>
    </font>
    <font>
      <name val="Tahoma"/>
      <b val="1"/>
      <sz val="13"/>
    </font>
    <font>
      <name val="Tahoma"/>
      <b val="1"/>
      <color rgb="00000000"/>
      <sz val="10"/>
    </font>
    <font>
      <name val="Tahoma"/>
      <sz val="8"/>
    </font>
    <font>
      <name val="Tahoma"/>
      <b val="1"/>
      <color rgb="00FFFFFF"/>
      <sz val="9"/>
    </font>
    <font>
      <name val="Tahoma"/>
      <b val="1"/>
      <sz val="12"/>
    </font>
  </fonts>
  <fills count="14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E699"/>
      </patternFill>
    </fill>
    <fill>
      <patternFill patternType="solid">
        <fgColor rgb="00A32B2B"/>
      </patternFill>
    </fill>
    <fill>
      <patternFill patternType="solid">
        <fgColor rgb="00D9E2F3"/>
      </patternFill>
    </fill>
    <fill>
      <patternFill patternType="solid">
        <fgColor rgb="00FBE2D5"/>
      </patternFill>
    </fill>
    <fill>
      <patternFill patternType="solid">
        <fgColor rgb="00E8D5F0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9AA0A6"/>
      </left>
      <right style="thin">
        <color rgb="009AA0A6"/>
      </right>
      <top style="thin">
        <color rgb="009AA0A6"/>
      </top>
      <bottom style="thin">
        <color rgb="009AA0A6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applyProtection="1" pivotButton="0" quotePrefix="0" xfId="0">
      <alignment horizontal="center" vertical="center"/>
      <protection locked="0" hidden="0"/>
    </xf>
    <xf numFmtId="0" fontId="5" fillId="5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4" borderId="1" applyAlignment="1" applyProtection="1" pivotButton="0" quotePrefix="0" xfId="0">
      <alignment horizontal="left" vertical="center" indent="1"/>
      <protection locked="0" hidden="0"/>
    </xf>
    <xf numFmtId="0" fontId="7" fillId="4" borderId="1" applyAlignment="1" applyProtection="1" pivotButton="0" quotePrefix="0" xfId="0">
      <alignment horizontal="center" vertical="center"/>
      <protection locked="0" hidden="0"/>
    </xf>
    <xf numFmtId="0" fontId="4" fillId="4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pivotButton="0" quotePrefix="0" xfId="0">
      <alignment horizontal="right" vertical="center"/>
    </xf>
    <xf numFmtId="0" fontId="5" fillId="4" borderId="1" applyAlignment="1" applyProtection="1" pivotButton="0" quotePrefix="0" xfId="0">
      <alignment horizontal="center" vertical="center"/>
      <protection locked="0" hidden="0"/>
    </xf>
    <xf numFmtId="0" fontId="5" fillId="3" borderId="1" applyAlignment="1" pivotButton="0" quotePrefix="0" xfId="0">
      <alignment horizontal="center" vertical="center"/>
    </xf>
    <xf numFmtId="0" fontId="5" fillId="3" borderId="1" applyAlignment="1" applyProtection="1" pivotButton="0" quotePrefix="0" xfId="0">
      <alignment horizontal="center" vertical="center"/>
      <protection locked="0" hidden="0"/>
    </xf>
    <xf numFmtId="0" fontId="9" fillId="5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indent="1"/>
    </xf>
    <xf numFmtId="0" fontId="7" fillId="4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indent="1"/>
    </xf>
  </cellXfs>
  <cellStyles count="1">
    <cellStyle name="Normal" xfId="0" builtinId="0" hidden="0"/>
  </cellStyles>
  <dxfs count="9">
    <dxf>
      <font>
        <name val="Tahoma"/>
        <b val="1"/>
        <color rgb="009C0006"/>
        <sz val="9"/>
      </font>
      <fill>
        <patternFill>
          <bgColor rgb="00FFC7CE"/>
        </patternFill>
      </fill>
    </dxf>
    <dxf>
      <fill>
        <patternFill>
          <bgColor rgb="00FFA94D"/>
        </patternFill>
      </fill>
    </dxf>
    <dxf>
      <fill>
        <patternFill>
          <bgColor rgb="005C8A3C"/>
        </patternFill>
      </fill>
    </dxf>
    <dxf>
      <font>
        <name val="Tahoma"/>
        <b val="1"/>
        <color rgb="00FFFFFF"/>
        <sz val="9"/>
      </font>
      <fill>
        <patternFill>
          <bgColor rgb="00A32B2B"/>
        </patternFill>
      </fill>
    </dxf>
    <dxf>
      <fill>
        <patternFill>
          <bgColor rgb="00FDE9E9"/>
        </patternFill>
      </fill>
    </dxf>
    <dxf>
      <font>
        <name val="Tahoma"/>
        <b val="1"/>
        <color rgb="009C0006"/>
        <sz val="8"/>
      </font>
      <fill>
        <patternFill>
          <bgColor rgb="00FFC7CE"/>
        </patternFill>
      </fill>
    </dxf>
    <dxf>
      <font>
        <name val="Tahoma"/>
        <b val="1"/>
        <color rgb="009C0006"/>
        <sz val="10"/>
      </font>
      <fill>
        <patternFill>
          <bgColor rgb="00FFC7CE"/>
        </patternFill>
      </fill>
    </dxf>
    <dxf>
      <font>
        <name val="Tahoma"/>
        <b val="1"/>
        <color rgb="009C0006"/>
        <sz val="12"/>
      </font>
      <fill>
        <patternFill>
          <bgColor rgb="00FFC7CE"/>
        </patternFill>
      </fill>
    </dxf>
    <dxf>
      <fill>
        <patternFill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4.3" customWidth="1" min="3" max="3"/>
    <col width="4.3" customWidth="1" min="4" max="4"/>
    <col width="4.3" customWidth="1" min="5" max="5"/>
    <col width="4.3" customWidth="1" min="6" max="6"/>
    <col width="4.3" customWidth="1" min="7" max="7"/>
    <col width="4.3" customWidth="1" min="8" max="8"/>
    <col width="4.3" customWidth="1" min="9" max="9"/>
    <col width="4.3" customWidth="1" min="10" max="10"/>
    <col width="4.3" customWidth="1" min="11" max="11"/>
    <col width="4.3" customWidth="1" min="12" max="12"/>
    <col width="4.3" customWidth="1" min="13" max="13"/>
    <col width="4.3" customWidth="1" min="14" max="14"/>
    <col width="4.3" customWidth="1" min="15" max="15"/>
    <col width="4.3" customWidth="1" min="16" max="16"/>
    <col width="4.3" customWidth="1" min="17" max="17"/>
    <col width="4.3" customWidth="1" min="18" max="18"/>
    <col width="4.3" customWidth="1" min="19" max="19"/>
    <col width="4.3" customWidth="1" min="20" max="20"/>
    <col width="4.3" customWidth="1" min="21" max="21"/>
    <col width="4.3" customWidth="1" min="22" max="22"/>
    <col width="4.3" customWidth="1" min="23" max="23"/>
    <col width="4.3" customWidth="1" min="24" max="24"/>
    <col width="4.3" customWidth="1" min="25" max="25"/>
    <col width="4.3" customWidth="1" min="26" max="26"/>
    <col width="4.3" customWidth="1" min="27" max="27"/>
    <col width="4.3" customWidth="1" min="28" max="28"/>
    <col width="4.3" customWidth="1" min="29" max="29"/>
    <col width="4.3" customWidth="1" min="30" max="30"/>
    <col width="4.3" customWidth="1" min="31" max="31"/>
    <col width="4.3" customWidth="1" min="32" max="32"/>
    <col width="4.3" customWidth="1" min="33" max="33"/>
    <col width="9" customWidth="1" min="36" max="36"/>
    <col width="14" customWidth="1" min="38" max="38"/>
    <col width="11" customWidth="1" min="39" max="39"/>
    <col hidden="1" width="13" customWidth="1" min="41" max="41"/>
  </cols>
  <sheetData>
    <row r="1">
      <c r="A1" s="1" t="inlineStr">
        <is>
          <t>📋 ตารางเวรพยาบาล</t>
        </is>
      </c>
      <c r="B1" s="1" t="n"/>
      <c r="D1" s="2" t="inlineStr">
        <is>
          <t>วิธีกรอก:  พิมพ์  D  หรือ  DE  ในช่องวันที่เข้าเวร  ·  เว้นว่าง = ไม่เข้าเวร (ขึ้นเขียวเอง)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3" t="inlineStr">
        <is>
          <t>เดือน</t>
        </is>
      </c>
      <c r="B2" s="4" t="n">
        <v>8</v>
      </c>
      <c r="D2" s="5" t="inlineStr">
        <is>
          <t>เติม  *  ท้ายรหัสถ้าคนนั้นอยู่ "ฝั่งขวา P1" วันนั้น  เช่น  DE*  หรือ  D*   →  ช่องจะกลายเป็นสีส้มให้เอง</t>
        </is>
      </c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</row>
    <row r="3">
      <c r="A3" s="3" t="inlineStr">
        <is>
          <t>ปี พ.ศ.</t>
        </is>
      </c>
      <c r="B3" s="4" t="n">
        <v>2569</v>
      </c>
      <c r="D3" s="2" t="inlineStr">
        <is>
          <t>คอลัมน์ "ห้าม T" ใส่  x  = คนนั้นจะไม่ถูกสุ่มลงช่อง T เด็ดขาด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3" t="inlineStr">
        <is>
          <t>เลขสุ่ม</t>
        </is>
      </c>
      <c r="B4" s="4" t="n">
        <v>7</v>
      </c>
      <c r="D4" s="2" t="inlineStr">
        <is>
          <t>อยากได้ผลสุ่มฝั่งขวาแบบใหม่ → เปลี่ยน "เลขสุ่ม" เป็นเลขอื่น  ·  พิมพ์เลขเดิมกลับ = ได้ตารางเดิมเป๊ะ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3" t="inlineStr">
        <is>
          <t>(D) ฝั่งขวา</t>
        </is>
      </c>
      <c r="B5" s="4" t="inlineStr">
        <is>
          <t>x</t>
        </is>
      </c>
      <c r="D5" s="2" t="inlineStr">
        <is>
          <t>ช่อง "(D) ฝั่งขวา" มี x = ฝั่งขวาต่อท้าย (D) ด้วย  ·  ลบ x ออก = ฝั่งขวาโชว์ชื่อเปล่า (ฝั่งซ้ายมี (D) เสมอ)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 hidden="1">
      <c r="C6">
        <f>IF(1&gt;DAY(EOMONTH(DATE('ตารางเวร'!$B$3-543,'ตารางเวร'!$B$2,1),0)),"",DATE('ตารางเวร'!$B$3-543,'ตารางเวร'!$B$2,1))</f>
        <v/>
      </c>
      <c r="D6">
        <f>IF(2&gt;DAY(EOMONTH(DATE('ตารางเวร'!$B$3-543,'ตารางเวร'!$B$2,1),0)),"",DATE('ตารางเวร'!$B$3-543,'ตารางเวร'!$B$2,2))</f>
        <v/>
      </c>
      <c r="E6">
        <f>IF(3&gt;DAY(EOMONTH(DATE('ตารางเวร'!$B$3-543,'ตารางเวร'!$B$2,1),0)),"",DATE('ตารางเวร'!$B$3-543,'ตารางเวร'!$B$2,3))</f>
        <v/>
      </c>
      <c r="F6">
        <f>IF(4&gt;DAY(EOMONTH(DATE('ตารางเวร'!$B$3-543,'ตารางเวร'!$B$2,1),0)),"",DATE('ตารางเวร'!$B$3-543,'ตารางเวร'!$B$2,4))</f>
        <v/>
      </c>
      <c r="G6">
        <f>IF(5&gt;DAY(EOMONTH(DATE('ตารางเวร'!$B$3-543,'ตารางเวร'!$B$2,1),0)),"",DATE('ตารางเวร'!$B$3-543,'ตารางเวร'!$B$2,5))</f>
        <v/>
      </c>
      <c r="H6">
        <f>IF(6&gt;DAY(EOMONTH(DATE('ตารางเวร'!$B$3-543,'ตารางเวร'!$B$2,1),0)),"",DATE('ตารางเวร'!$B$3-543,'ตารางเวร'!$B$2,6))</f>
        <v/>
      </c>
      <c r="I6">
        <f>IF(7&gt;DAY(EOMONTH(DATE('ตารางเวร'!$B$3-543,'ตารางเวร'!$B$2,1),0)),"",DATE('ตารางเวร'!$B$3-543,'ตารางเวร'!$B$2,7))</f>
        <v/>
      </c>
      <c r="J6">
        <f>IF(8&gt;DAY(EOMONTH(DATE('ตารางเวร'!$B$3-543,'ตารางเวร'!$B$2,1),0)),"",DATE('ตารางเวร'!$B$3-543,'ตารางเวร'!$B$2,8))</f>
        <v/>
      </c>
      <c r="K6">
        <f>IF(9&gt;DAY(EOMONTH(DATE('ตารางเวร'!$B$3-543,'ตารางเวร'!$B$2,1),0)),"",DATE('ตารางเวร'!$B$3-543,'ตารางเวร'!$B$2,9))</f>
        <v/>
      </c>
      <c r="L6">
        <f>IF(10&gt;DAY(EOMONTH(DATE('ตารางเวร'!$B$3-543,'ตารางเวร'!$B$2,1),0)),"",DATE('ตารางเวร'!$B$3-543,'ตารางเวร'!$B$2,10))</f>
        <v/>
      </c>
      <c r="M6">
        <f>IF(11&gt;DAY(EOMONTH(DATE('ตารางเวร'!$B$3-543,'ตารางเวร'!$B$2,1),0)),"",DATE('ตารางเวร'!$B$3-543,'ตารางเวร'!$B$2,11))</f>
        <v/>
      </c>
      <c r="N6">
        <f>IF(12&gt;DAY(EOMONTH(DATE('ตารางเวร'!$B$3-543,'ตารางเวร'!$B$2,1),0)),"",DATE('ตารางเวร'!$B$3-543,'ตารางเวร'!$B$2,12))</f>
        <v/>
      </c>
      <c r="O6">
        <f>IF(13&gt;DAY(EOMONTH(DATE('ตารางเวร'!$B$3-543,'ตารางเวร'!$B$2,1),0)),"",DATE('ตารางเวร'!$B$3-543,'ตารางเวร'!$B$2,13))</f>
        <v/>
      </c>
      <c r="P6">
        <f>IF(14&gt;DAY(EOMONTH(DATE('ตารางเวร'!$B$3-543,'ตารางเวร'!$B$2,1),0)),"",DATE('ตารางเวร'!$B$3-543,'ตารางเวร'!$B$2,14))</f>
        <v/>
      </c>
      <c r="Q6">
        <f>IF(15&gt;DAY(EOMONTH(DATE('ตารางเวร'!$B$3-543,'ตารางเวร'!$B$2,1),0)),"",DATE('ตารางเวร'!$B$3-543,'ตารางเวร'!$B$2,15))</f>
        <v/>
      </c>
      <c r="R6">
        <f>IF(16&gt;DAY(EOMONTH(DATE('ตารางเวร'!$B$3-543,'ตารางเวร'!$B$2,1),0)),"",DATE('ตารางเวร'!$B$3-543,'ตารางเวร'!$B$2,16))</f>
        <v/>
      </c>
      <c r="S6">
        <f>IF(17&gt;DAY(EOMONTH(DATE('ตารางเวร'!$B$3-543,'ตารางเวร'!$B$2,1),0)),"",DATE('ตารางเวร'!$B$3-543,'ตารางเวร'!$B$2,17))</f>
        <v/>
      </c>
      <c r="T6">
        <f>IF(18&gt;DAY(EOMONTH(DATE('ตารางเวร'!$B$3-543,'ตารางเวร'!$B$2,1),0)),"",DATE('ตารางเวร'!$B$3-543,'ตารางเวร'!$B$2,18))</f>
        <v/>
      </c>
      <c r="U6">
        <f>IF(19&gt;DAY(EOMONTH(DATE('ตารางเวร'!$B$3-543,'ตารางเวร'!$B$2,1),0)),"",DATE('ตารางเวร'!$B$3-543,'ตารางเวร'!$B$2,19))</f>
        <v/>
      </c>
      <c r="V6">
        <f>IF(20&gt;DAY(EOMONTH(DATE('ตารางเวร'!$B$3-543,'ตารางเวร'!$B$2,1),0)),"",DATE('ตารางเวร'!$B$3-543,'ตารางเวร'!$B$2,20))</f>
        <v/>
      </c>
      <c r="W6">
        <f>IF(21&gt;DAY(EOMONTH(DATE('ตารางเวร'!$B$3-543,'ตารางเวร'!$B$2,1),0)),"",DATE('ตารางเวร'!$B$3-543,'ตารางเวร'!$B$2,21))</f>
        <v/>
      </c>
      <c r="X6">
        <f>IF(22&gt;DAY(EOMONTH(DATE('ตารางเวร'!$B$3-543,'ตารางเวร'!$B$2,1),0)),"",DATE('ตารางเวร'!$B$3-543,'ตารางเวร'!$B$2,22))</f>
        <v/>
      </c>
      <c r="Y6">
        <f>IF(23&gt;DAY(EOMONTH(DATE('ตารางเวร'!$B$3-543,'ตารางเวร'!$B$2,1),0)),"",DATE('ตารางเวร'!$B$3-543,'ตารางเวร'!$B$2,23))</f>
        <v/>
      </c>
      <c r="Z6">
        <f>IF(24&gt;DAY(EOMONTH(DATE('ตารางเวร'!$B$3-543,'ตารางเวร'!$B$2,1),0)),"",DATE('ตารางเวร'!$B$3-543,'ตารางเวร'!$B$2,24))</f>
        <v/>
      </c>
      <c r="AA6">
        <f>IF(25&gt;DAY(EOMONTH(DATE('ตารางเวร'!$B$3-543,'ตารางเวร'!$B$2,1),0)),"",DATE('ตารางเวร'!$B$3-543,'ตารางเวร'!$B$2,25))</f>
        <v/>
      </c>
      <c r="AB6">
        <f>IF(26&gt;DAY(EOMONTH(DATE('ตารางเวร'!$B$3-543,'ตารางเวร'!$B$2,1),0)),"",DATE('ตารางเวร'!$B$3-543,'ตารางเวร'!$B$2,26))</f>
        <v/>
      </c>
      <c r="AC6">
        <f>IF(27&gt;DAY(EOMONTH(DATE('ตารางเวร'!$B$3-543,'ตารางเวร'!$B$2,1),0)),"",DATE('ตารางเวร'!$B$3-543,'ตารางเวร'!$B$2,27))</f>
        <v/>
      </c>
      <c r="AD6">
        <f>IF(28&gt;DAY(EOMONTH(DATE('ตารางเวร'!$B$3-543,'ตารางเวร'!$B$2,1),0)),"",DATE('ตารางเวร'!$B$3-543,'ตารางเวร'!$B$2,28))</f>
        <v/>
      </c>
      <c r="AE6">
        <f>IF(29&gt;DAY(EOMONTH(DATE('ตารางเวร'!$B$3-543,'ตารางเวร'!$B$2,1),0)),"",DATE('ตารางเวร'!$B$3-543,'ตารางเวร'!$B$2,29))</f>
        <v/>
      </c>
      <c r="AF6">
        <f>IF(30&gt;DAY(EOMONTH(DATE('ตารางเวร'!$B$3-543,'ตารางเวร'!$B$2,1),0)),"",DATE('ตารางเวร'!$B$3-543,'ตารางเวร'!$B$2,30))</f>
        <v/>
      </c>
      <c r="AG6">
        <f>IF(31&gt;DAY(EOMONTH(DATE('ตารางเวร'!$B$3-543,'ตารางเวร'!$B$2,1),0)),"",DATE('ตารางเวร'!$B$3-543,'ตารางเวร'!$B$2,31))</f>
        <v/>
      </c>
    </row>
    <row r="7" hidden="1">
      <c r="C7">
        <f>IF(C6="",0,IF(OR(WEEKDAY(C6,2)&gt;5,COUNTIF($AJ$10:$AJ$22,1)&gt;0),1,0))</f>
        <v/>
      </c>
      <c r="D7">
        <f>IF(D6="",0,IF(OR(WEEKDAY(D6,2)&gt;5,COUNTIF($AJ$10:$AJ$22,2)&gt;0),1,0))</f>
        <v/>
      </c>
      <c r="E7">
        <f>IF(E6="",0,IF(OR(WEEKDAY(E6,2)&gt;5,COUNTIF($AJ$10:$AJ$22,3)&gt;0),1,0))</f>
        <v/>
      </c>
      <c r="F7">
        <f>IF(F6="",0,IF(OR(WEEKDAY(F6,2)&gt;5,COUNTIF($AJ$10:$AJ$22,4)&gt;0),1,0))</f>
        <v/>
      </c>
      <c r="G7">
        <f>IF(G6="",0,IF(OR(WEEKDAY(G6,2)&gt;5,COUNTIF($AJ$10:$AJ$22,5)&gt;0),1,0))</f>
        <v/>
      </c>
      <c r="H7">
        <f>IF(H6="",0,IF(OR(WEEKDAY(H6,2)&gt;5,COUNTIF($AJ$10:$AJ$22,6)&gt;0),1,0))</f>
        <v/>
      </c>
      <c r="I7">
        <f>IF(I6="",0,IF(OR(WEEKDAY(I6,2)&gt;5,COUNTIF($AJ$10:$AJ$22,7)&gt;0),1,0))</f>
        <v/>
      </c>
      <c r="J7">
        <f>IF(J6="",0,IF(OR(WEEKDAY(J6,2)&gt;5,COUNTIF($AJ$10:$AJ$22,8)&gt;0),1,0))</f>
        <v/>
      </c>
      <c r="K7">
        <f>IF(K6="",0,IF(OR(WEEKDAY(K6,2)&gt;5,COUNTIF($AJ$10:$AJ$22,9)&gt;0),1,0))</f>
        <v/>
      </c>
      <c r="L7">
        <f>IF(L6="",0,IF(OR(WEEKDAY(L6,2)&gt;5,COUNTIF($AJ$10:$AJ$22,10)&gt;0),1,0))</f>
        <v/>
      </c>
      <c r="M7">
        <f>IF(M6="",0,IF(OR(WEEKDAY(M6,2)&gt;5,COUNTIF($AJ$10:$AJ$22,11)&gt;0),1,0))</f>
        <v/>
      </c>
      <c r="N7">
        <f>IF(N6="",0,IF(OR(WEEKDAY(N6,2)&gt;5,COUNTIF($AJ$10:$AJ$22,12)&gt;0),1,0))</f>
        <v/>
      </c>
      <c r="O7">
        <f>IF(O6="",0,IF(OR(WEEKDAY(O6,2)&gt;5,COUNTIF($AJ$10:$AJ$22,13)&gt;0),1,0))</f>
        <v/>
      </c>
      <c r="P7">
        <f>IF(P6="",0,IF(OR(WEEKDAY(P6,2)&gt;5,COUNTIF($AJ$10:$AJ$22,14)&gt;0),1,0))</f>
        <v/>
      </c>
      <c r="Q7">
        <f>IF(Q6="",0,IF(OR(WEEKDAY(Q6,2)&gt;5,COUNTIF($AJ$10:$AJ$22,15)&gt;0),1,0))</f>
        <v/>
      </c>
      <c r="R7">
        <f>IF(R6="",0,IF(OR(WEEKDAY(R6,2)&gt;5,COUNTIF($AJ$10:$AJ$22,16)&gt;0),1,0))</f>
        <v/>
      </c>
      <c r="S7">
        <f>IF(S6="",0,IF(OR(WEEKDAY(S6,2)&gt;5,COUNTIF($AJ$10:$AJ$22,17)&gt;0),1,0))</f>
        <v/>
      </c>
      <c r="T7">
        <f>IF(T6="",0,IF(OR(WEEKDAY(T6,2)&gt;5,COUNTIF($AJ$10:$AJ$22,18)&gt;0),1,0))</f>
        <v/>
      </c>
      <c r="U7">
        <f>IF(U6="",0,IF(OR(WEEKDAY(U6,2)&gt;5,COUNTIF($AJ$10:$AJ$22,19)&gt;0),1,0))</f>
        <v/>
      </c>
      <c r="V7">
        <f>IF(V6="",0,IF(OR(WEEKDAY(V6,2)&gt;5,COUNTIF($AJ$10:$AJ$22,20)&gt;0),1,0))</f>
        <v/>
      </c>
      <c r="W7">
        <f>IF(W6="",0,IF(OR(WEEKDAY(W6,2)&gt;5,COUNTIF($AJ$10:$AJ$22,21)&gt;0),1,0))</f>
        <v/>
      </c>
      <c r="X7">
        <f>IF(X6="",0,IF(OR(WEEKDAY(X6,2)&gt;5,COUNTIF($AJ$10:$AJ$22,22)&gt;0),1,0))</f>
        <v/>
      </c>
      <c r="Y7">
        <f>IF(Y6="",0,IF(OR(WEEKDAY(Y6,2)&gt;5,COUNTIF($AJ$10:$AJ$22,23)&gt;0),1,0))</f>
        <v/>
      </c>
      <c r="Z7">
        <f>IF(Z6="",0,IF(OR(WEEKDAY(Z6,2)&gt;5,COUNTIF($AJ$10:$AJ$22,24)&gt;0),1,0))</f>
        <v/>
      </c>
      <c r="AA7">
        <f>IF(AA6="",0,IF(OR(WEEKDAY(AA6,2)&gt;5,COUNTIF($AJ$10:$AJ$22,25)&gt;0),1,0))</f>
        <v/>
      </c>
      <c r="AB7">
        <f>IF(AB6="",0,IF(OR(WEEKDAY(AB6,2)&gt;5,COUNTIF($AJ$10:$AJ$22,26)&gt;0),1,0))</f>
        <v/>
      </c>
      <c r="AC7">
        <f>IF(AC6="",0,IF(OR(WEEKDAY(AC6,2)&gt;5,COUNTIF($AJ$10:$AJ$22,27)&gt;0),1,0))</f>
        <v/>
      </c>
      <c r="AD7">
        <f>IF(AD6="",0,IF(OR(WEEKDAY(AD6,2)&gt;5,COUNTIF($AJ$10:$AJ$22,28)&gt;0),1,0))</f>
        <v/>
      </c>
      <c r="AE7">
        <f>IF(AE6="",0,IF(OR(WEEKDAY(AE6,2)&gt;5,COUNTIF($AJ$10:$AJ$22,29)&gt;0),1,0))</f>
        <v/>
      </c>
      <c r="AF7">
        <f>IF(AF6="",0,IF(OR(WEEKDAY(AF6,2)&gt;5,COUNTIF($AJ$10:$AJ$22,30)&gt;0),1,0))</f>
        <v/>
      </c>
      <c r="AG7">
        <f>IF(AG6="",0,IF(OR(WEEKDAY(AG6,2)&gt;5,COUNTIF($AJ$10:$AJ$22,31)&gt;0),1,0))</f>
        <v/>
      </c>
    </row>
    <row r="8">
      <c r="A8" s="6" t="inlineStr">
        <is>
          <t>ชื่อ-สกุล</t>
        </is>
      </c>
      <c r="B8" s="6" t="inlineStr">
        <is>
          <t>ห้าม T</t>
        </is>
      </c>
      <c r="C8" s="7">
        <f>IF(C6="","",1)</f>
        <v/>
      </c>
      <c r="D8" s="7">
        <f>IF(D6="","",2)</f>
        <v/>
      </c>
      <c r="E8" s="7">
        <f>IF(E6="","",3)</f>
        <v/>
      </c>
      <c r="F8" s="7">
        <f>IF(F6="","",4)</f>
        <v/>
      </c>
      <c r="G8" s="7">
        <f>IF(G6="","",5)</f>
        <v/>
      </c>
      <c r="H8" s="7">
        <f>IF(H6="","",6)</f>
        <v/>
      </c>
      <c r="I8" s="7">
        <f>IF(I6="","",7)</f>
        <v/>
      </c>
      <c r="J8" s="7">
        <f>IF(J6="","",8)</f>
        <v/>
      </c>
      <c r="K8" s="7">
        <f>IF(K6="","",9)</f>
        <v/>
      </c>
      <c r="L8" s="7">
        <f>IF(L6="","",10)</f>
        <v/>
      </c>
      <c r="M8" s="7">
        <f>IF(M6="","",11)</f>
        <v/>
      </c>
      <c r="N8" s="7">
        <f>IF(N6="","",12)</f>
        <v/>
      </c>
      <c r="O8" s="7">
        <f>IF(O6="","",13)</f>
        <v/>
      </c>
      <c r="P8" s="7">
        <f>IF(P6="","",14)</f>
        <v/>
      </c>
      <c r="Q8" s="7">
        <f>IF(Q6="","",15)</f>
        <v/>
      </c>
      <c r="R8" s="7">
        <f>IF(R6="","",16)</f>
        <v/>
      </c>
      <c r="S8" s="7">
        <f>IF(S6="","",17)</f>
        <v/>
      </c>
      <c r="T8" s="7">
        <f>IF(T6="","",18)</f>
        <v/>
      </c>
      <c r="U8" s="7">
        <f>IF(U6="","",19)</f>
        <v/>
      </c>
      <c r="V8" s="7">
        <f>IF(V6="","",20)</f>
        <v/>
      </c>
      <c r="W8" s="7">
        <f>IF(W6="","",21)</f>
        <v/>
      </c>
      <c r="X8" s="7">
        <f>IF(X6="","",22)</f>
        <v/>
      </c>
      <c r="Y8" s="7">
        <f>IF(Y6="","",23)</f>
        <v/>
      </c>
      <c r="Z8" s="7">
        <f>IF(Z6="","",24)</f>
        <v/>
      </c>
      <c r="AA8" s="7">
        <f>IF(AA6="","",25)</f>
        <v/>
      </c>
      <c r="AB8" s="7">
        <f>IF(AB6="","",26)</f>
        <v/>
      </c>
      <c r="AC8" s="7">
        <f>IF(AC6="","",27)</f>
        <v/>
      </c>
      <c r="AD8" s="7">
        <f>IF(AD6="","",28)</f>
        <v/>
      </c>
      <c r="AE8" s="7">
        <f>IF(AE6="","",29)</f>
        <v/>
      </c>
      <c r="AF8" s="7">
        <f>IF(AF6="","",30)</f>
        <v/>
      </c>
      <c r="AG8" s="7">
        <f>IF(AG6="","",31)</f>
        <v/>
      </c>
      <c r="AJ8" s="8" t="inlineStr">
        <is>
          <t>วันหยุด</t>
        </is>
      </c>
      <c r="AL8" s="9" t="inlineStr">
        <is>
          <t>⚙️ ตั้งค่า</t>
        </is>
      </c>
      <c r="AM8" s="9" t="n"/>
    </row>
    <row r="9">
      <c r="A9" s="6" t="n"/>
      <c r="B9" s="6" t="n"/>
      <c r="C9" s="7">
        <f>IF(C6="","",CHOOSE(WEEKDAY(C6),"อา","จ","อ","พ","พฤ","ศ","ส"))</f>
        <v/>
      </c>
      <c r="D9" s="7">
        <f>IF(D6="","",CHOOSE(WEEKDAY(D6),"อา","จ","อ","พ","พฤ","ศ","ส"))</f>
        <v/>
      </c>
      <c r="E9" s="7">
        <f>IF(E6="","",CHOOSE(WEEKDAY(E6),"อา","จ","อ","พ","พฤ","ศ","ส"))</f>
        <v/>
      </c>
      <c r="F9" s="7">
        <f>IF(F6="","",CHOOSE(WEEKDAY(F6),"อา","จ","อ","พ","พฤ","ศ","ส"))</f>
        <v/>
      </c>
      <c r="G9" s="7">
        <f>IF(G6="","",CHOOSE(WEEKDAY(G6),"อา","จ","อ","พ","พฤ","ศ","ส"))</f>
        <v/>
      </c>
      <c r="H9" s="7">
        <f>IF(H6="","",CHOOSE(WEEKDAY(H6),"อา","จ","อ","พ","พฤ","ศ","ส"))</f>
        <v/>
      </c>
      <c r="I9" s="7">
        <f>IF(I6="","",CHOOSE(WEEKDAY(I6),"อา","จ","อ","พ","พฤ","ศ","ส"))</f>
        <v/>
      </c>
      <c r="J9" s="7">
        <f>IF(J6="","",CHOOSE(WEEKDAY(J6),"อา","จ","อ","พ","พฤ","ศ","ส"))</f>
        <v/>
      </c>
      <c r="K9" s="7">
        <f>IF(K6="","",CHOOSE(WEEKDAY(K6),"อา","จ","อ","พ","พฤ","ศ","ส"))</f>
        <v/>
      </c>
      <c r="L9" s="7">
        <f>IF(L6="","",CHOOSE(WEEKDAY(L6),"อา","จ","อ","พ","พฤ","ศ","ส"))</f>
        <v/>
      </c>
      <c r="M9" s="7">
        <f>IF(M6="","",CHOOSE(WEEKDAY(M6),"อา","จ","อ","พ","พฤ","ศ","ส"))</f>
        <v/>
      </c>
      <c r="N9" s="7">
        <f>IF(N6="","",CHOOSE(WEEKDAY(N6),"อา","จ","อ","พ","พฤ","ศ","ส"))</f>
        <v/>
      </c>
      <c r="O9" s="7">
        <f>IF(O6="","",CHOOSE(WEEKDAY(O6),"อา","จ","อ","พ","พฤ","ศ","ส"))</f>
        <v/>
      </c>
      <c r="P9" s="7">
        <f>IF(P6="","",CHOOSE(WEEKDAY(P6),"อา","จ","อ","พ","พฤ","ศ","ส"))</f>
        <v/>
      </c>
      <c r="Q9" s="7">
        <f>IF(Q6="","",CHOOSE(WEEKDAY(Q6),"อา","จ","อ","พ","พฤ","ศ","ส"))</f>
        <v/>
      </c>
      <c r="R9" s="7">
        <f>IF(R6="","",CHOOSE(WEEKDAY(R6),"อา","จ","อ","พ","พฤ","ศ","ส"))</f>
        <v/>
      </c>
      <c r="S9" s="7">
        <f>IF(S6="","",CHOOSE(WEEKDAY(S6),"อา","จ","อ","พ","พฤ","ศ","ส"))</f>
        <v/>
      </c>
      <c r="T9" s="7">
        <f>IF(T6="","",CHOOSE(WEEKDAY(T6),"อา","จ","อ","พ","พฤ","ศ","ส"))</f>
        <v/>
      </c>
      <c r="U9" s="7">
        <f>IF(U6="","",CHOOSE(WEEKDAY(U6),"อา","จ","อ","พ","พฤ","ศ","ส"))</f>
        <v/>
      </c>
      <c r="V9" s="7">
        <f>IF(V6="","",CHOOSE(WEEKDAY(V6),"อา","จ","อ","พ","พฤ","ศ","ส"))</f>
        <v/>
      </c>
      <c r="W9" s="7">
        <f>IF(W6="","",CHOOSE(WEEKDAY(W6),"อา","จ","อ","พ","พฤ","ศ","ส"))</f>
        <v/>
      </c>
      <c r="X9" s="7">
        <f>IF(X6="","",CHOOSE(WEEKDAY(X6),"อา","จ","อ","พ","พฤ","ศ","ส"))</f>
        <v/>
      </c>
      <c r="Y9" s="7">
        <f>IF(Y6="","",CHOOSE(WEEKDAY(Y6),"อา","จ","อ","พ","พฤ","ศ","ส"))</f>
        <v/>
      </c>
      <c r="Z9" s="7">
        <f>IF(Z6="","",CHOOSE(WEEKDAY(Z6),"อา","จ","อ","พ","พฤ","ศ","ส"))</f>
        <v/>
      </c>
      <c r="AA9" s="7">
        <f>IF(AA6="","",CHOOSE(WEEKDAY(AA6),"อา","จ","อ","พ","พฤ","ศ","ส"))</f>
        <v/>
      </c>
      <c r="AB9" s="7">
        <f>IF(AB6="","",CHOOSE(WEEKDAY(AB6),"อา","จ","อ","พ","พฤ","ศ","ส"))</f>
        <v/>
      </c>
      <c r="AC9" s="7">
        <f>IF(AC6="","",CHOOSE(WEEKDAY(AC6),"อา","จ","อ","พ","พฤ","ศ","ส"))</f>
        <v/>
      </c>
      <c r="AD9" s="7">
        <f>IF(AD6="","",CHOOSE(WEEKDAY(AD6),"อา","จ","อ","พ","พฤ","ศ","ส"))</f>
        <v/>
      </c>
      <c r="AE9" s="7">
        <f>IF(AE6="","",CHOOSE(WEEKDAY(AE6),"อา","จ","อ","พ","พฤ","ศ","ส"))</f>
        <v/>
      </c>
      <c r="AF9" s="7">
        <f>IF(AF6="","",CHOOSE(WEEKDAY(AF6),"อา","จ","อ","พ","พฤ","ศ","ส"))</f>
        <v/>
      </c>
      <c r="AG9" s="7">
        <f>IF(AG6="","",CHOOSE(WEEKDAY(AG6),"อา","จ","อ","พ","พฤ","ศ","ส"))</f>
        <v/>
      </c>
      <c r="AJ9" s="8" t="inlineStr">
        <is>
          <t>(เลขวันที่)</t>
        </is>
      </c>
      <c r="AL9" s="9" t="n"/>
      <c r="AM9" s="9" t="n"/>
    </row>
    <row r="10">
      <c r="A10" s="10" t="inlineStr">
        <is>
          <t>สมหญิง</t>
        </is>
      </c>
      <c r="B10" s="11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J10" s="12" t="n">
        <v>12</v>
      </c>
      <c r="AO10" t="inlineStr">
        <is>
          <t>จันทร์</t>
        </is>
      </c>
    </row>
    <row r="11">
      <c r="A11" s="10" t="inlineStr">
        <is>
          <t>วราภรณ์</t>
        </is>
      </c>
      <c r="B11" s="11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J11" s="12" t="n"/>
      <c r="AL11" s="13" t="inlineStr">
        <is>
          <t>ฝั่ง P1 หยุดวัน</t>
        </is>
      </c>
      <c r="AM11" s="14" t="inlineStr">
        <is>
          <t>พฤหัสบดี</t>
        </is>
      </c>
      <c r="AO11" t="inlineStr">
        <is>
          <t>อังคาร</t>
        </is>
      </c>
    </row>
    <row r="12">
      <c r="A12" s="10" t="inlineStr">
        <is>
          <t>ประไพ*</t>
        </is>
      </c>
      <c r="B12" s="11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J12" s="12" t="n"/>
      <c r="AL12" s="13" t="n"/>
      <c r="AM12" s="14" t="n"/>
      <c r="AO12" t="inlineStr">
        <is>
          <t>พุธ</t>
        </is>
      </c>
    </row>
    <row r="13">
      <c r="A13" s="10" t="inlineStr">
        <is>
          <t>นภาพร</t>
        </is>
      </c>
      <c r="B13" s="11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J13" s="12" t="n"/>
      <c r="AL13" s="15" t="inlineStr">
        <is>
          <t>ชื่อช่องฝั่ง P1</t>
        </is>
      </c>
      <c r="AM13" s="16" t="n"/>
      <c r="AO13" t="inlineStr">
        <is>
          <t>พฤหัสบดี</t>
        </is>
      </c>
    </row>
    <row r="14">
      <c r="A14" s="10" t="inlineStr">
        <is>
          <t>กัลยา</t>
        </is>
      </c>
      <c r="B14" s="11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J14" s="12" t="n"/>
      <c r="AL14" s="13" t="inlineStr">
        <is>
          <t>ช่องที่ 1</t>
        </is>
      </c>
      <c r="AM14" s="14" t="inlineStr">
        <is>
          <t>T</t>
        </is>
      </c>
      <c r="AO14" t="inlineStr">
        <is>
          <t>ศุกร์</t>
        </is>
      </c>
    </row>
    <row r="15">
      <c r="A15" s="10" t="inlineStr">
        <is>
          <t>ศิริพร</t>
        </is>
      </c>
      <c r="B15" s="11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J15" s="12" t="n"/>
      <c r="AL15" s="13" t="inlineStr">
        <is>
          <t>ช่องที่ 2</t>
        </is>
      </c>
      <c r="AM15" s="14" t="inlineStr">
        <is>
          <t>ซ1</t>
        </is>
      </c>
      <c r="AO15" t="inlineStr">
        <is>
          <t>เสาร์</t>
        </is>
      </c>
    </row>
    <row r="16">
      <c r="A16" s="10" t="inlineStr">
        <is>
          <t>ธนากร</t>
        </is>
      </c>
      <c r="B16" s="11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J16" s="12" t="n"/>
      <c r="AL16" s="13" t="inlineStr">
        <is>
          <t>ช่องที่ 3</t>
        </is>
      </c>
      <c r="AM16" s="14" t="inlineStr">
        <is>
          <t>ซ2</t>
        </is>
      </c>
      <c r="AO16" t="inlineStr">
        <is>
          <t>อาทิตย์</t>
        </is>
      </c>
    </row>
    <row r="17">
      <c r="A17" s="10" t="inlineStr">
        <is>
          <t>มาลี</t>
        </is>
      </c>
      <c r="B17" s="11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J17" s="12" t="n"/>
      <c r="AL17" s="13" t="inlineStr">
        <is>
          <t>ช่องที่ 4</t>
        </is>
      </c>
      <c r="AM17" s="14" t="inlineStr">
        <is>
          <t>ก</t>
        </is>
      </c>
      <c r="AO17" t="inlineStr">
        <is>
          <t>(ไม่หยุด)</t>
        </is>
      </c>
    </row>
    <row r="18">
      <c r="A18" s="10" t="inlineStr">
        <is>
          <t>รุ่งทิพย์</t>
        </is>
      </c>
      <c r="B18" s="11" t="inlineStr">
        <is>
          <t>x</t>
        </is>
      </c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J18" s="12" t="n"/>
    </row>
    <row r="19">
      <c r="A19" s="10" t="inlineStr">
        <is>
          <t>ปิยะดา</t>
        </is>
      </c>
      <c r="B19" s="11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J19" s="12" t="n"/>
    </row>
    <row r="20">
      <c r="A20" s="10" t="inlineStr">
        <is>
          <t>จันทร์เพ็ญ</t>
        </is>
      </c>
      <c r="B20" s="11" t="inlineStr">
        <is>
          <t>x</t>
        </is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J20" s="12" t="n"/>
    </row>
    <row r="21">
      <c r="A21" s="10" t="inlineStr">
        <is>
          <t>สุดารัตน์</t>
        </is>
      </c>
      <c r="B21" s="11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J21" s="12" t="n"/>
    </row>
    <row r="22">
      <c r="A22" s="10" t="n"/>
      <c r="B22" s="11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J22" s="12" t="n"/>
    </row>
    <row r="23">
      <c r="A23" s="10" t="n"/>
      <c r="B23" s="11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</row>
    <row r="24">
      <c r="A24" s="10" t="n"/>
      <c r="B24" s="11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</row>
    <row r="25">
      <c r="A25" s="10" t="n"/>
      <c r="B25" s="11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</row>
    <row r="26">
      <c r="A26" s="10" t="n"/>
      <c r="B26" s="11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</row>
    <row r="27">
      <c r="A27" s="10" t="n"/>
      <c r="B27" s="11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</row>
    <row r="28">
      <c r="A28" s="10" t="n"/>
      <c r="B28" s="11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</row>
    <row r="29">
      <c r="A29" s="10" t="n"/>
      <c r="B29" s="11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</row>
  </sheetData>
  <sheetProtection selectLockedCells="1" selectUnlockedCells="0" sheet="1" objects="0" insertRows="1" insertHyperlinks="1" autoFilter="1" scenarios="0" formatColumns="1" deleteColumns="1" insertColumns="1" pivotTables="1" deleteRows="1" formatCells="0" formatRows="1" sort="1"/>
  <mergeCells count="8">
    <mergeCell ref="D4:T4"/>
    <mergeCell ref="AL8:AM9"/>
    <mergeCell ref="A8:A9"/>
    <mergeCell ref="D3:T3"/>
    <mergeCell ref="B8:B9"/>
    <mergeCell ref="D2:T2"/>
    <mergeCell ref="D1:T1"/>
    <mergeCell ref="D5:T5"/>
  </mergeCells>
  <conditionalFormatting sqref="C10:AG29">
    <cfRule type="expression" priority="1" dxfId="0" stopIfTrue="1">
      <formula>AND(C10&lt;&gt;"",UPPER(SUBSTITUTE(TRIM(C10),"*",""))&lt;&gt;"D",UPPER(SUBSTITUTE(TRIM(C10),"*",""))&lt;&gt;"DE")</formula>
    </cfRule>
    <cfRule type="expression" priority="2" dxfId="0" stopIfTrue="1">
      <formula>AND(ISNUMBER(FIND("*",C10)),WEEKDAY(C$6,2)=IFERROR(MATCH($AM$11,$AO$10:$AO$17,0),0))</formula>
    </cfRule>
    <cfRule type="expression" priority="3" dxfId="1" stopIfTrue="1">
      <formula>AND(C10&lt;&gt;"",ISNUMBER(FIND("*",C10)))</formula>
    </cfRule>
    <cfRule type="expression" priority="4" dxfId="2" stopIfTrue="1">
      <formula>AND(C10="",$A10&lt;&gt;"",C$8&lt;&gt;"")</formula>
    </cfRule>
  </conditionalFormatting>
  <conditionalFormatting sqref="C8:AG9">
    <cfRule type="expression" priority="5" dxfId="3">
      <formula>C$7=1</formula>
    </cfRule>
  </conditionalFormatting>
  <dataValidations count="4">
    <dataValidation sqref="B2" showDropDown="0" showInputMessage="0" showErrorMessage="0" allowBlank="0" type="list">
      <formula1>"1,2,3,4,5,6,7,8,9,10,11,12"</formula1>
    </dataValidation>
    <dataValidation sqref="B5 B10:B29" showDropDown="0" showInputMessage="0" showErrorMessage="0" allowBlank="1" type="list">
      <formula1>"x"</formula1>
    </dataValidation>
    <dataValidation sqref="C10:AG29" showDropDown="0" showInputMessage="0" showErrorMessage="1" allowBlank="1" errorTitle="รหัสไม่ถูกต้อง" error="ใช้ได้แค่ D · DE · D* · DE* เท่านั้น (เว้นว่าง = ไม่เข้าเวร)" type="list" errorStyle="warning">
      <formula1>"D,DE,D*,DE*"</formula1>
    </dataValidation>
    <dataValidation sqref="AM11" showDropDown="0" showInputMessage="0" showErrorMessage="0" allowBlank="1" type="list">
      <formula1>"จันทร์,อังคาร,พุธ,พฤหัสบดี,ศุกร์,เสาร์,อาทิตย์,(ไม่หยุด)"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X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ชีตช่วยคำนวณ — ห้ามแก้ด้วยมือ</t>
        </is>
      </c>
    </row>
    <row r="2">
      <c r="A2" t="inlineStr">
        <is>
          <t>วันที่</t>
        </is>
      </c>
    </row>
    <row r="3">
      <c r="A3" t="n">
        <v>1</v>
      </c>
      <c r="B3">
        <f>IF(1&gt;DAY(EOMONTH(DATE('ตารางเวร'!$B$3-543,'ตารางเวร'!$B$2,1),0)),0,1)</f>
        <v/>
      </c>
      <c r="C3">
        <f>IF($B3=0,"",IFERROR(TRIM(INDEX('ตารางเวร'!$C$10:$AG$29,1,$A3)),""))</f>
        <v/>
      </c>
      <c r="D3">
        <f>IF($B3=0,"",IFERROR(TRIM(INDEX('ตารางเวร'!$C$10:$AG$29,2,$A3)),""))</f>
        <v/>
      </c>
      <c r="E3">
        <f>IF($B3=0,"",IFERROR(TRIM(INDEX('ตารางเวร'!$C$10:$AG$29,3,$A3)),""))</f>
        <v/>
      </c>
      <c r="F3">
        <f>IF($B3=0,"",IFERROR(TRIM(INDEX('ตารางเวร'!$C$10:$AG$29,4,$A3)),""))</f>
        <v/>
      </c>
      <c r="G3">
        <f>IF($B3=0,"",IFERROR(TRIM(INDEX('ตารางเวร'!$C$10:$AG$29,5,$A3)),""))</f>
        <v/>
      </c>
      <c r="H3">
        <f>IF($B3=0,"",IFERROR(TRIM(INDEX('ตารางเวร'!$C$10:$AG$29,6,$A3)),""))</f>
        <v/>
      </c>
      <c r="I3">
        <f>IF($B3=0,"",IFERROR(TRIM(INDEX('ตารางเวร'!$C$10:$AG$29,7,$A3)),""))</f>
        <v/>
      </c>
      <c r="J3">
        <f>IF($B3=0,"",IFERROR(TRIM(INDEX('ตารางเวร'!$C$10:$AG$29,8,$A3)),""))</f>
        <v/>
      </c>
      <c r="K3">
        <f>IF($B3=0,"",IFERROR(TRIM(INDEX('ตารางเวร'!$C$10:$AG$29,9,$A3)),""))</f>
        <v/>
      </c>
      <c r="L3">
        <f>IF($B3=0,"",IFERROR(TRIM(INDEX('ตารางเวร'!$C$10:$AG$29,10,$A3)),""))</f>
        <v/>
      </c>
      <c r="M3">
        <f>IF($B3=0,"",IFERROR(TRIM(INDEX('ตารางเวร'!$C$10:$AG$29,11,$A3)),""))</f>
        <v/>
      </c>
      <c r="N3">
        <f>IF($B3=0,"",IFERROR(TRIM(INDEX('ตารางเวร'!$C$10:$AG$29,12,$A3)),""))</f>
        <v/>
      </c>
      <c r="O3">
        <f>IF($B3=0,"",IFERROR(TRIM(INDEX('ตารางเวร'!$C$10:$AG$29,13,$A3)),""))</f>
        <v/>
      </c>
      <c r="P3">
        <f>IF($B3=0,"",IFERROR(TRIM(INDEX('ตารางเวร'!$C$10:$AG$29,14,$A3)),""))</f>
        <v/>
      </c>
      <c r="Q3">
        <f>IF($B3=0,"",IFERROR(TRIM(INDEX('ตารางเวร'!$C$10:$AG$29,15,$A3)),""))</f>
        <v/>
      </c>
      <c r="R3">
        <f>IF($B3=0,"",IFERROR(TRIM(INDEX('ตารางเวร'!$C$10:$AG$29,16,$A3)),""))</f>
        <v/>
      </c>
      <c r="S3">
        <f>IF($B3=0,"",IFERROR(TRIM(INDEX('ตารางเวร'!$C$10:$AG$29,17,$A3)),""))</f>
        <v/>
      </c>
      <c r="T3">
        <f>IF($B3=0,"",IFERROR(TRIM(INDEX('ตารางเวร'!$C$10:$AG$29,18,$A3)),""))</f>
        <v/>
      </c>
      <c r="U3">
        <f>IF($B3=0,"",IFERROR(TRIM(INDEX('ตารางเวร'!$C$10:$AG$29,19,$A3)),""))</f>
        <v/>
      </c>
      <c r="V3">
        <f>IF($B3=0,"",IFERROR(TRIM(INDEX('ตารางเวร'!$C$10:$AG$29,20,$A3)),""))</f>
        <v/>
      </c>
      <c r="W3">
        <f>IF(AND($B3=1,C3&lt;&gt;"",ISNUMBER(FIND("*",C3))),MOD((MOD('ตารางเวร'!$B$4,9973)*7919+$A3*40289)*(1*104729+7919),99991)*100+1,999999999)</f>
        <v/>
      </c>
      <c r="X3">
        <f>IF(AND($B3=1,D3&lt;&gt;"",ISNUMBER(FIND("*",D3))),MOD((MOD('ตารางเวร'!$B$4,9973)*7919+$A3*40289)*(2*104729+7919),99991)*100+2,999999999)</f>
        <v/>
      </c>
      <c r="Y3">
        <f>IF(AND($B3=1,E3&lt;&gt;"",ISNUMBER(FIND("*",E3))),MOD((MOD('ตารางเวร'!$B$4,9973)*7919+$A3*40289)*(3*104729+7919),99991)*100+3,999999999)</f>
        <v/>
      </c>
      <c r="Z3">
        <f>IF(AND($B3=1,F3&lt;&gt;"",ISNUMBER(FIND("*",F3))),MOD((MOD('ตารางเวร'!$B$4,9973)*7919+$A3*40289)*(4*104729+7919),99991)*100+4,999999999)</f>
        <v/>
      </c>
      <c r="AA3">
        <f>IF(AND($B3=1,G3&lt;&gt;"",ISNUMBER(FIND("*",G3))),MOD((MOD('ตารางเวร'!$B$4,9973)*7919+$A3*40289)*(5*104729+7919),99991)*100+5,999999999)</f>
        <v/>
      </c>
      <c r="AB3">
        <f>IF(AND($B3=1,H3&lt;&gt;"",ISNUMBER(FIND("*",H3))),MOD((MOD('ตารางเวร'!$B$4,9973)*7919+$A3*40289)*(6*104729+7919),99991)*100+6,999999999)</f>
        <v/>
      </c>
      <c r="AC3">
        <f>IF(AND($B3=1,I3&lt;&gt;"",ISNUMBER(FIND("*",I3))),MOD((MOD('ตารางเวร'!$B$4,9973)*7919+$A3*40289)*(7*104729+7919),99991)*100+7,999999999)</f>
        <v/>
      </c>
      <c r="AD3">
        <f>IF(AND($B3=1,J3&lt;&gt;"",ISNUMBER(FIND("*",J3))),MOD((MOD('ตารางเวร'!$B$4,9973)*7919+$A3*40289)*(8*104729+7919),99991)*100+8,999999999)</f>
        <v/>
      </c>
      <c r="AE3">
        <f>IF(AND($B3=1,K3&lt;&gt;"",ISNUMBER(FIND("*",K3))),MOD((MOD('ตารางเวร'!$B$4,9973)*7919+$A3*40289)*(9*104729+7919),99991)*100+9,999999999)</f>
        <v/>
      </c>
      <c r="AF3">
        <f>IF(AND($B3=1,L3&lt;&gt;"",ISNUMBER(FIND("*",L3))),MOD((MOD('ตารางเวร'!$B$4,9973)*7919+$A3*40289)*(10*104729+7919),99991)*100+10,999999999)</f>
        <v/>
      </c>
      <c r="AG3">
        <f>IF(AND($B3=1,M3&lt;&gt;"",ISNUMBER(FIND("*",M3))),MOD((MOD('ตารางเวร'!$B$4,9973)*7919+$A3*40289)*(11*104729+7919),99991)*100+11,999999999)</f>
        <v/>
      </c>
      <c r="AH3">
        <f>IF(AND($B3=1,N3&lt;&gt;"",ISNUMBER(FIND("*",N3))),MOD((MOD('ตารางเวร'!$B$4,9973)*7919+$A3*40289)*(12*104729+7919),99991)*100+12,999999999)</f>
        <v/>
      </c>
      <c r="AI3">
        <f>IF(AND($B3=1,O3&lt;&gt;"",ISNUMBER(FIND("*",O3))),MOD((MOD('ตารางเวร'!$B$4,9973)*7919+$A3*40289)*(13*104729+7919),99991)*100+13,999999999)</f>
        <v/>
      </c>
      <c r="AJ3">
        <f>IF(AND($B3=1,P3&lt;&gt;"",ISNUMBER(FIND("*",P3))),MOD((MOD('ตารางเวร'!$B$4,9973)*7919+$A3*40289)*(14*104729+7919),99991)*100+14,999999999)</f>
        <v/>
      </c>
      <c r="AK3">
        <f>IF(AND($B3=1,Q3&lt;&gt;"",ISNUMBER(FIND("*",Q3))),MOD((MOD('ตารางเวร'!$B$4,9973)*7919+$A3*40289)*(15*104729+7919),99991)*100+15,999999999)</f>
        <v/>
      </c>
      <c r="AL3">
        <f>IF(AND($B3=1,R3&lt;&gt;"",ISNUMBER(FIND("*",R3))),MOD((MOD('ตารางเวร'!$B$4,9973)*7919+$A3*40289)*(16*104729+7919),99991)*100+16,999999999)</f>
        <v/>
      </c>
      <c r="AM3">
        <f>IF(AND($B3=1,S3&lt;&gt;"",ISNUMBER(FIND("*",S3))),MOD((MOD('ตารางเวร'!$B$4,9973)*7919+$A3*40289)*(17*104729+7919),99991)*100+17,999999999)</f>
        <v/>
      </c>
      <c r="AN3">
        <f>IF(AND($B3=1,T3&lt;&gt;"",ISNUMBER(FIND("*",T3))),MOD((MOD('ตารางเวร'!$B$4,9973)*7919+$A3*40289)*(18*104729+7919),99991)*100+18,999999999)</f>
        <v/>
      </c>
      <c r="AO3">
        <f>IF(AND($B3=1,U3&lt;&gt;"",ISNUMBER(FIND("*",U3))),MOD((MOD('ตารางเวร'!$B$4,9973)*7919+$A3*40289)*(19*104729+7919),99991)*100+19,999999999)</f>
        <v/>
      </c>
      <c r="AP3">
        <f>IF(AND($B3=1,V3&lt;&gt;"",ISNUMBER(FIND("*",V3))),MOD((MOD('ตารางเวร'!$B$4,9973)*7919+$A3*40289)*(20*104729+7919),99991)*100+20,999999999)</f>
        <v/>
      </c>
      <c r="AQ3">
        <f>IF(TRIM('ตารางเวร'!$B$10)&lt;&gt;"",999999999,W3)</f>
        <v/>
      </c>
      <c r="AR3">
        <f>IF(TRIM('ตารางเวร'!$B$11)&lt;&gt;"",999999999,X3)</f>
        <v/>
      </c>
      <c r="AS3">
        <f>IF(TRIM('ตารางเวร'!$B$12)&lt;&gt;"",999999999,Y3)</f>
        <v/>
      </c>
      <c r="AT3">
        <f>IF(TRIM('ตารางเวร'!$B$13)&lt;&gt;"",999999999,Z3)</f>
        <v/>
      </c>
      <c r="AU3">
        <f>IF(TRIM('ตารางเวร'!$B$14)&lt;&gt;"",999999999,AA3)</f>
        <v/>
      </c>
      <c r="AV3">
        <f>IF(TRIM('ตารางเวร'!$B$15)&lt;&gt;"",999999999,AB3)</f>
        <v/>
      </c>
      <c r="AW3">
        <f>IF(TRIM('ตารางเวร'!$B$16)&lt;&gt;"",999999999,AC3)</f>
        <v/>
      </c>
      <c r="AX3">
        <f>IF(TRIM('ตารางเวร'!$B$17)&lt;&gt;"",999999999,AD3)</f>
        <v/>
      </c>
      <c r="AY3">
        <f>IF(TRIM('ตารางเวร'!$B$18)&lt;&gt;"",999999999,AE3)</f>
        <v/>
      </c>
      <c r="AZ3">
        <f>IF(TRIM('ตารางเวร'!$B$19)&lt;&gt;"",999999999,AF3)</f>
        <v/>
      </c>
      <c r="BA3">
        <f>IF(TRIM('ตารางเวร'!$B$20)&lt;&gt;"",999999999,AG3)</f>
        <v/>
      </c>
      <c r="BB3">
        <f>IF(TRIM('ตารางเวร'!$B$21)&lt;&gt;"",999999999,AH3)</f>
        <v/>
      </c>
      <c r="BC3">
        <f>IF(TRIM('ตารางเวร'!$B$22)&lt;&gt;"",999999999,AI3)</f>
        <v/>
      </c>
      <c r="BD3">
        <f>IF(TRIM('ตารางเวร'!$B$23)&lt;&gt;"",999999999,AJ3)</f>
        <v/>
      </c>
      <c r="BE3">
        <f>IF(TRIM('ตารางเวร'!$B$24)&lt;&gt;"",999999999,AK3)</f>
        <v/>
      </c>
      <c r="BF3">
        <f>IF(TRIM('ตารางเวร'!$B$25)&lt;&gt;"",999999999,AL3)</f>
        <v/>
      </c>
      <c r="BG3">
        <f>IF(TRIM('ตารางเวร'!$B$26)&lt;&gt;"",999999999,AM3)</f>
        <v/>
      </c>
      <c r="BH3">
        <f>IF(TRIM('ตารางเวร'!$B$27)&lt;&gt;"",999999999,AN3)</f>
        <v/>
      </c>
      <c r="BI3">
        <f>IF(TRIM('ตารางเวร'!$B$28)&lt;&gt;"",999999999,AO3)</f>
        <v/>
      </c>
      <c r="BJ3">
        <f>IF(TRIM('ตารางเวร'!$B$29)&lt;&gt;"",999999999,AP3)</f>
        <v/>
      </c>
      <c r="BK3">
        <f>IF(AND($B3=1,C3&lt;&gt;"",NOT(ISNUMBER(FIND("*",C3)))),1,999999)</f>
        <v/>
      </c>
      <c r="BL3">
        <f>IF(AND($B3=1,D3&lt;&gt;"",NOT(ISNUMBER(FIND("*",D3)))),2,999999)</f>
        <v/>
      </c>
      <c r="BM3">
        <f>IF(AND($B3=1,E3&lt;&gt;"",NOT(ISNUMBER(FIND("*",E3)))),3,999999)</f>
        <v/>
      </c>
      <c r="BN3">
        <f>IF(AND($B3=1,F3&lt;&gt;"",NOT(ISNUMBER(FIND("*",F3)))),4,999999)</f>
        <v/>
      </c>
      <c r="BO3">
        <f>IF(AND($B3=1,G3&lt;&gt;"",NOT(ISNUMBER(FIND("*",G3)))),5,999999)</f>
        <v/>
      </c>
      <c r="BP3">
        <f>IF(AND($B3=1,H3&lt;&gt;"",NOT(ISNUMBER(FIND("*",H3)))),6,999999)</f>
        <v/>
      </c>
      <c r="BQ3">
        <f>IF(AND($B3=1,I3&lt;&gt;"",NOT(ISNUMBER(FIND("*",I3)))),7,999999)</f>
        <v/>
      </c>
      <c r="BR3">
        <f>IF(AND($B3=1,J3&lt;&gt;"",NOT(ISNUMBER(FIND("*",J3)))),8,999999)</f>
        <v/>
      </c>
      <c r="BS3">
        <f>IF(AND($B3=1,K3&lt;&gt;"",NOT(ISNUMBER(FIND("*",K3)))),9,999999)</f>
        <v/>
      </c>
      <c r="BT3">
        <f>IF(AND($B3=1,L3&lt;&gt;"",NOT(ISNUMBER(FIND("*",L3)))),10,999999)</f>
        <v/>
      </c>
      <c r="BU3">
        <f>IF(AND($B3=1,M3&lt;&gt;"",NOT(ISNUMBER(FIND("*",M3)))),11,999999)</f>
        <v/>
      </c>
      <c r="BV3">
        <f>IF(AND($B3=1,N3&lt;&gt;"",NOT(ISNUMBER(FIND("*",N3)))),12,999999)</f>
        <v/>
      </c>
      <c r="BW3">
        <f>IF(AND($B3=1,O3&lt;&gt;"",NOT(ISNUMBER(FIND("*",O3)))),13,999999)</f>
        <v/>
      </c>
      <c r="BX3">
        <f>IF(AND($B3=1,P3&lt;&gt;"",NOT(ISNUMBER(FIND("*",P3)))),14,999999)</f>
        <v/>
      </c>
      <c r="BY3">
        <f>IF(AND($B3=1,Q3&lt;&gt;"",NOT(ISNUMBER(FIND("*",Q3)))),15,999999)</f>
        <v/>
      </c>
      <c r="BZ3">
        <f>IF(AND($B3=1,R3&lt;&gt;"",NOT(ISNUMBER(FIND("*",R3)))),16,999999)</f>
        <v/>
      </c>
      <c r="CA3">
        <f>IF(AND($B3=1,S3&lt;&gt;"",NOT(ISNUMBER(FIND("*",S3)))),17,999999)</f>
        <v/>
      </c>
      <c r="CB3">
        <f>IF(AND($B3=1,T3&lt;&gt;"",NOT(ISNUMBER(FIND("*",T3)))),18,999999)</f>
        <v/>
      </c>
      <c r="CC3">
        <f>IF(AND($B3=1,U3&lt;&gt;"",NOT(ISNUMBER(FIND("*",U3)))),19,999999)</f>
        <v/>
      </c>
      <c r="CD3">
        <f>IF(AND($B3=1,V3&lt;&gt;"",NOT(ISNUMBER(FIND("*",V3)))),20,999999)</f>
        <v/>
      </c>
      <c r="CE3">
        <f>IF(MIN(AQ3:BJ3)&gt;=999999999,0,MATCH(MIN(AQ3:BJ3),AQ3:BJ3,0))</f>
        <v/>
      </c>
      <c r="CF3">
        <f>IF($CE3=1,999999999,W3)</f>
        <v/>
      </c>
      <c r="CG3">
        <f>IF($CE3=2,999999999,X3)</f>
        <v/>
      </c>
      <c r="CH3">
        <f>IF($CE3=3,999999999,Y3)</f>
        <v/>
      </c>
      <c r="CI3">
        <f>IF($CE3=4,999999999,Z3)</f>
        <v/>
      </c>
      <c r="CJ3">
        <f>IF($CE3=5,999999999,AA3)</f>
        <v/>
      </c>
      <c r="CK3">
        <f>IF($CE3=6,999999999,AB3)</f>
        <v/>
      </c>
      <c r="CL3">
        <f>IF($CE3=7,999999999,AC3)</f>
        <v/>
      </c>
      <c r="CM3">
        <f>IF($CE3=8,999999999,AD3)</f>
        <v/>
      </c>
      <c r="CN3">
        <f>IF($CE3=9,999999999,AE3)</f>
        <v/>
      </c>
      <c r="CO3">
        <f>IF($CE3=10,999999999,AF3)</f>
        <v/>
      </c>
      <c r="CP3">
        <f>IF($CE3=11,999999999,AG3)</f>
        <v/>
      </c>
      <c r="CQ3">
        <f>IF($CE3=12,999999999,AH3)</f>
        <v/>
      </c>
      <c r="CR3">
        <f>IF($CE3=13,999999999,AI3)</f>
        <v/>
      </c>
      <c r="CS3">
        <f>IF($CE3=14,999999999,AJ3)</f>
        <v/>
      </c>
      <c r="CT3">
        <f>IF($CE3=15,999999999,AK3)</f>
        <v/>
      </c>
      <c r="CU3">
        <f>IF($CE3=16,999999999,AL3)</f>
        <v/>
      </c>
      <c r="CV3">
        <f>IF($CE3=17,999999999,AM3)</f>
        <v/>
      </c>
      <c r="CW3">
        <f>IF($CE3=18,999999999,AN3)</f>
        <v/>
      </c>
      <c r="CX3">
        <f>IF($CE3=19,999999999,AO3)</f>
        <v/>
      </c>
      <c r="CY3">
        <f>IF($CE3=20,999999999,AP3)</f>
        <v/>
      </c>
      <c r="CZ3">
        <f>COUNTIF(W3:AP3,"&lt;999999999")</f>
        <v/>
      </c>
      <c r="DA3">
        <f>COUNTIF(BK3:CD3,"&lt;999999")</f>
        <v/>
      </c>
      <c r="DB3">
        <f>$CZ3-IF($CE3&gt;0,1,0)</f>
        <v/>
      </c>
      <c r="DC3">
        <f>IF(OR($B3=0,C3=""),0,0+1)</f>
        <v/>
      </c>
      <c r="DD3">
        <f>IF(OR($B3=0,D3=""),0,0+1)</f>
        <v/>
      </c>
      <c r="DE3">
        <f>IF(OR($B3=0,E3=""),0,0+1)</f>
        <v/>
      </c>
      <c r="DF3">
        <f>IF(OR($B3=0,F3=""),0,0+1)</f>
        <v/>
      </c>
      <c r="DG3">
        <f>IF(OR($B3=0,G3=""),0,0+1)</f>
        <v/>
      </c>
      <c r="DH3">
        <f>IF(OR($B3=0,H3=""),0,0+1)</f>
        <v/>
      </c>
      <c r="DI3">
        <f>IF(OR($B3=0,I3=""),0,0+1)</f>
        <v/>
      </c>
      <c r="DJ3">
        <f>IF(OR($B3=0,J3=""),0,0+1)</f>
        <v/>
      </c>
      <c r="DK3">
        <f>IF(OR($B3=0,K3=""),0,0+1)</f>
        <v/>
      </c>
      <c r="DL3">
        <f>IF(OR($B3=0,L3=""),0,0+1)</f>
        <v/>
      </c>
      <c r="DM3">
        <f>IF(OR($B3=0,M3=""),0,0+1)</f>
        <v/>
      </c>
      <c r="DN3">
        <f>IF(OR($B3=0,N3=""),0,0+1)</f>
        <v/>
      </c>
      <c r="DO3">
        <f>IF(OR($B3=0,O3=""),0,0+1)</f>
        <v/>
      </c>
      <c r="DP3">
        <f>IF(OR($B3=0,P3=""),0,0+1)</f>
        <v/>
      </c>
      <c r="DQ3">
        <f>IF(OR($B3=0,Q3=""),0,0+1)</f>
        <v/>
      </c>
      <c r="DR3">
        <f>IF(OR($B3=0,R3=""),0,0+1)</f>
        <v/>
      </c>
      <c r="DS3">
        <f>IF(OR($B3=0,S3=""),0,0+1)</f>
        <v/>
      </c>
      <c r="DT3">
        <f>IF(OR($B3=0,T3=""),0,0+1)</f>
        <v/>
      </c>
      <c r="DU3">
        <f>IF(OR($B3=0,U3=""),0,0+1)</f>
        <v/>
      </c>
      <c r="DV3">
        <f>IF(OR($B3=0,V3=""),0,0+1)</f>
        <v/>
      </c>
      <c r="DW3">
        <f>'ตารางเวร'!C$7</f>
        <v/>
      </c>
      <c r="DX3">
        <f>IF($B3=0,0,IF(WEEKDAY('ตารางเวร'!C$6,2)=IFERROR(MATCH('ตารางเวร'!$AM$11,'ตารางเวร'!$AO$10:$AO$17,0),0),1,0))</f>
        <v/>
      </c>
    </row>
    <row r="4">
      <c r="A4" t="n">
        <v>2</v>
      </c>
      <c r="B4">
        <f>IF(2&gt;DAY(EOMONTH(DATE('ตารางเวร'!$B$3-543,'ตารางเวร'!$B$2,1),0)),0,1)</f>
        <v/>
      </c>
      <c r="C4">
        <f>IF($B4=0,"",IFERROR(TRIM(INDEX('ตารางเวร'!$C$10:$AG$29,1,$A4)),""))</f>
        <v/>
      </c>
      <c r="D4">
        <f>IF($B4=0,"",IFERROR(TRIM(INDEX('ตารางเวร'!$C$10:$AG$29,2,$A4)),""))</f>
        <v/>
      </c>
      <c r="E4">
        <f>IF($B4=0,"",IFERROR(TRIM(INDEX('ตารางเวร'!$C$10:$AG$29,3,$A4)),""))</f>
        <v/>
      </c>
      <c r="F4">
        <f>IF($B4=0,"",IFERROR(TRIM(INDEX('ตารางเวร'!$C$10:$AG$29,4,$A4)),""))</f>
        <v/>
      </c>
      <c r="G4">
        <f>IF($B4=0,"",IFERROR(TRIM(INDEX('ตารางเวร'!$C$10:$AG$29,5,$A4)),""))</f>
        <v/>
      </c>
      <c r="H4">
        <f>IF($B4=0,"",IFERROR(TRIM(INDEX('ตารางเวร'!$C$10:$AG$29,6,$A4)),""))</f>
        <v/>
      </c>
      <c r="I4">
        <f>IF($B4=0,"",IFERROR(TRIM(INDEX('ตารางเวร'!$C$10:$AG$29,7,$A4)),""))</f>
        <v/>
      </c>
      <c r="J4">
        <f>IF($B4=0,"",IFERROR(TRIM(INDEX('ตารางเวร'!$C$10:$AG$29,8,$A4)),""))</f>
        <v/>
      </c>
      <c r="K4">
        <f>IF($B4=0,"",IFERROR(TRIM(INDEX('ตารางเวร'!$C$10:$AG$29,9,$A4)),""))</f>
        <v/>
      </c>
      <c r="L4">
        <f>IF($B4=0,"",IFERROR(TRIM(INDEX('ตารางเวร'!$C$10:$AG$29,10,$A4)),""))</f>
        <v/>
      </c>
      <c r="M4">
        <f>IF($B4=0,"",IFERROR(TRIM(INDEX('ตารางเวร'!$C$10:$AG$29,11,$A4)),""))</f>
        <v/>
      </c>
      <c r="N4">
        <f>IF($B4=0,"",IFERROR(TRIM(INDEX('ตารางเวร'!$C$10:$AG$29,12,$A4)),""))</f>
        <v/>
      </c>
      <c r="O4">
        <f>IF($B4=0,"",IFERROR(TRIM(INDEX('ตารางเวร'!$C$10:$AG$29,13,$A4)),""))</f>
        <v/>
      </c>
      <c r="P4">
        <f>IF($B4=0,"",IFERROR(TRIM(INDEX('ตารางเวร'!$C$10:$AG$29,14,$A4)),""))</f>
        <v/>
      </c>
      <c r="Q4">
        <f>IF($B4=0,"",IFERROR(TRIM(INDEX('ตารางเวร'!$C$10:$AG$29,15,$A4)),""))</f>
        <v/>
      </c>
      <c r="R4">
        <f>IF($B4=0,"",IFERROR(TRIM(INDEX('ตารางเวร'!$C$10:$AG$29,16,$A4)),""))</f>
        <v/>
      </c>
      <c r="S4">
        <f>IF($B4=0,"",IFERROR(TRIM(INDEX('ตารางเวร'!$C$10:$AG$29,17,$A4)),""))</f>
        <v/>
      </c>
      <c r="T4">
        <f>IF($B4=0,"",IFERROR(TRIM(INDEX('ตารางเวร'!$C$10:$AG$29,18,$A4)),""))</f>
        <v/>
      </c>
      <c r="U4">
        <f>IF($B4=0,"",IFERROR(TRIM(INDEX('ตารางเวร'!$C$10:$AG$29,19,$A4)),""))</f>
        <v/>
      </c>
      <c r="V4">
        <f>IF($B4=0,"",IFERROR(TRIM(INDEX('ตารางเวร'!$C$10:$AG$29,20,$A4)),""))</f>
        <v/>
      </c>
      <c r="W4">
        <f>IF(AND($B4=1,C4&lt;&gt;"",ISNUMBER(FIND("*",C4))),MOD((MOD('ตารางเวร'!$B$4,9973)*7919+$A4*40289)*(1*104729+7919),99991)*100+1,999999999)</f>
        <v/>
      </c>
      <c r="X4">
        <f>IF(AND($B4=1,D4&lt;&gt;"",ISNUMBER(FIND("*",D4))),MOD((MOD('ตารางเวร'!$B$4,9973)*7919+$A4*40289)*(2*104729+7919),99991)*100+2,999999999)</f>
        <v/>
      </c>
      <c r="Y4">
        <f>IF(AND($B4=1,E4&lt;&gt;"",ISNUMBER(FIND("*",E4))),MOD((MOD('ตารางเวร'!$B$4,9973)*7919+$A4*40289)*(3*104729+7919),99991)*100+3,999999999)</f>
        <v/>
      </c>
      <c r="Z4">
        <f>IF(AND($B4=1,F4&lt;&gt;"",ISNUMBER(FIND("*",F4))),MOD((MOD('ตารางเวร'!$B$4,9973)*7919+$A4*40289)*(4*104729+7919),99991)*100+4,999999999)</f>
        <v/>
      </c>
      <c r="AA4">
        <f>IF(AND($B4=1,G4&lt;&gt;"",ISNUMBER(FIND("*",G4))),MOD((MOD('ตารางเวร'!$B$4,9973)*7919+$A4*40289)*(5*104729+7919),99991)*100+5,999999999)</f>
        <v/>
      </c>
      <c r="AB4">
        <f>IF(AND($B4=1,H4&lt;&gt;"",ISNUMBER(FIND("*",H4))),MOD((MOD('ตารางเวร'!$B$4,9973)*7919+$A4*40289)*(6*104729+7919),99991)*100+6,999999999)</f>
        <v/>
      </c>
      <c r="AC4">
        <f>IF(AND($B4=1,I4&lt;&gt;"",ISNUMBER(FIND("*",I4))),MOD((MOD('ตารางเวร'!$B$4,9973)*7919+$A4*40289)*(7*104729+7919),99991)*100+7,999999999)</f>
        <v/>
      </c>
      <c r="AD4">
        <f>IF(AND($B4=1,J4&lt;&gt;"",ISNUMBER(FIND("*",J4))),MOD((MOD('ตารางเวร'!$B$4,9973)*7919+$A4*40289)*(8*104729+7919),99991)*100+8,999999999)</f>
        <v/>
      </c>
      <c r="AE4">
        <f>IF(AND($B4=1,K4&lt;&gt;"",ISNUMBER(FIND("*",K4))),MOD((MOD('ตารางเวร'!$B$4,9973)*7919+$A4*40289)*(9*104729+7919),99991)*100+9,999999999)</f>
        <v/>
      </c>
      <c r="AF4">
        <f>IF(AND($B4=1,L4&lt;&gt;"",ISNUMBER(FIND("*",L4))),MOD((MOD('ตารางเวร'!$B$4,9973)*7919+$A4*40289)*(10*104729+7919),99991)*100+10,999999999)</f>
        <v/>
      </c>
      <c r="AG4">
        <f>IF(AND($B4=1,M4&lt;&gt;"",ISNUMBER(FIND("*",M4))),MOD((MOD('ตารางเวร'!$B$4,9973)*7919+$A4*40289)*(11*104729+7919),99991)*100+11,999999999)</f>
        <v/>
      </c>
      <c r="AH4">
        <f>IF(AND($B4=1,N4&lt;&gt;"",ISNUMBER(FIND("*",N4))),MOD((MOD('ตารางเวร'!$B$4,9973)*7919+$A4*40289)*(12*104729+7919),99991)*100+12,999999999)</f>
        <v/>
      </c>
      <c r="AI4">
        <f>IF(AND($B4=1,O4&lt;&gt;"",ISNUMBER(FIND("*",O4))),MOD((MOD('ตารางเวร'!$B$4,9973)*7919+$A4*40289)*(13*104729+7919),99991)*100+13,999999999)</f>
        <v/>
      </c>
      <c r="AJ4">
        <f>IF(AND($B4=1,P4&lt;&gt;"",ISNUMBER(FIND("*",P4))),MOD((MOD('ตารางเวร'!$B$4,9973)*7919+$A4*40289)*(14*104729+7919),99991)*100+14,999999999)</f>
        <v/>
      </c>
      <c r="AK4">
        <f>IF(AND($B4=1,Q4&lt;&gt;"",ISNUMBER(FIND("*",Q4))),MOD((MOD('ตารางเวร'!$B$4,9973)*7919+$A4*40289)*(15*104729+7919),99991)*100+15,999999999)</f>
        <v/>
      </c>
      <c r="AL4">
        <f>IF(AND($B4=1,R4&lt;&gt;"",ISNUMBER(FIND("*",R4))),MOD((MOD('ตารางเวร'!$B$4,9973)*7919+$A4*40289)*(16*104729+7919),99991)*100+16,999999999)</f>
        <v/>
      </c>
      <c r="AM4">
        <f>IF(AND($B4=1,S4&lt;&gt;"",ISNUMBER(FIND("*",S4))),MOD((MOD('ตารางเวร'!$B$4,9973)*7919+$A4*40289)*(17*104729+7919),99991)*100+17,999999999)</f>
        <v/>
      </c>
      <c r="AN4">
        <f>IF(AND($B4=1,T4&lt;&gt;"",ISNUMBER(FIND("*",T4))),MOD((MOD('ตารางเวร'!$B$4,9973)*7919+$A4*40289)*(18*104729+7919),99991)*100+18,999999999)</f>
        <v/>
      </c>
      <c r="AO4">
        <f>IF(AND($B4=1,U4&lt;&gt;"",ISNUMBER(FIND("*",U4))),MOD((MOD('ตารางเวร'!$B$4,9973)*7919+$A4*40289)*(19*104729+7919),99991)*100+19,999999999)</f>
        <v/>
      </c>
      <c r="AP4">
        <f>IF(AND($B4=1,V4&lt;&gt;"",ISNUMBER(FIND("*",V4))),MOD((MOD('ตารางเวร'!$B$4,9973)*7919+$A4*40289)*(20*104729+7919),99991)*100+20,999999999)</f>
        <v/>
      </c>
      <c r="AQ4">
        <f>IF(TRIM('ตารางเวร'!$B$10)&lt;&gt;"",999999999,W4)</f>
        <v/>
      </c>
      <c r="AR4">
        <f>IF(TRIM('ตารางเวร'!$B$11)&lt;&gt;"",999999999,X4)</f>
        <v/>
      </c>
      <c r="AS4">
        <f>IF(TRIM('ตารางเวร'!$B$12)&lt;&gt;"",999999999,Y4)</f>
        <v/>
      </c>
      <c r="AT4">
        <f>IF(TRIM('ตารางเวร'!$B$13)&lt;&gt;"",999999999,Z4)</f>
        <v/>
      </c>
      <c r="AU4">
        <f>IF(TRIM('ตารางเวร'!$B$14)&lt;&gt;"",999999999,AA4)</f>
        <v/>
      </c>
      <c r="AV4">
        <f>IF(TRIM('ตารางเวร'!$B$15)&lt;&gt;"",999999999,AB4)</f>
        <v/>
      </c>
      <c r="AW4">
        <f>IF(TRIM('ตารางเวร'!$B$16)&lt;&gt;"",999999999,AC4)</f>
        <v/>
      </c>
      <c r="AX4">
        <f>IF(TRIM('ตารางเวร'!$B$17)&lt;&gt;"",999999999,AD4)</f>
        <v/>
      </c>
      <c r="AY4">
        <f>IF(TRIM('ตารางเวร'!$B$18)&lt;&gt;"",999999999,AE4)</f>
        <v/>
      </c>
      <c r="AZ4">
        <f>IF(TRIM('ตารางเวร'!$B$19)&lt;&gt;"",999999999,AF4)</f>
        <v/>
      </c>
      <c r="BA4">
        <f>IF(TRIM('ตารางเวร'!$B$20)&lt;&gt;"",999999999,AG4)</f>
        <v/>
      </c>
      <c r="BB4">
        <f>IF(TRIM('ตารางเวร'!$B$21)&lt;&gt;"",999999999,AH4)</f>
        <v/>
      </c>
      <c r="BC4">
        <f>IF(TRIM('ตารางเวร'!$B$22)&lt;&gt;"",999999999,AI4)</f>
        <v/>
      </c>
      <c r="BD4">
        <f>IF(TRIM('ตารางเวร'!$B$23)&lt;&gt;"",999999999,AJ4)</f>
        <v/>
      </c>
      <c r="BE4">
        <f>IF(TRIM('ตารางเวร'!$B$24)&lt;&gt;"",999999999,AK4)</f>
        <v/>
      </c>
      <c r="BF4">
        <f>IF(TRIM('ตารางเวร'!$B$25)&lt;&gt;"",999999999,AL4)</f>
        <v/>
      </c>
      <c r="BG4">
        <f>IF(TRIM('ตารางเวร'!$B$26)&lt;&gt;"",999999999,AM4)</f>
        <v/>
      </c>
      <c r="BH4">
        <f>IF(TRIM('ตารางเวร'!$B$27)&lt;&gt;"",999999999,AN4)</f>
        <v/>
      </c>
      <c r="BI4">
        <f>IF(TRIM('ตารางเวร'!$B$28)&lt;&gt;"",999999999,AO4)</f>
        <v/>
      </c>
      <c r="BJ4">
        <f>IF(TRIM('ตารางเวร'!$B$29)&lt;&gt;"",999999999,AP4)</f>
        <v/>
      </c>
      <c r="BK4">
        <f>IF(AND($B4=1,C4&lt;&gt;"",NOT(ISNUMBER(FIND("*",C4)))),1,999999)</f>
        <v/>
      </c>
      <c r="BL4">
        <f>IF(AND($B4=1,D4&lt;&gt;"",NOT(ISNUMBER(FIND("*",D4)))),2,999999)</f>
        <v/>
      </c>
      <c r="BM4">
        <f>IF(AND($B4=1,E4&lt;&gt;"",NOT(ISNUMBER(FIND("*",E4)))),3,999999)</f>
        <v/>
      </c>
      <c r="BN4">
        <f>IF(AND($B4=1,F4&lt;&gt;"",NOT(ISNUMBER(FIND("*",F4)))),4,999999)</f>
        <v/>
      </c>
      <c r="BO4">
        <f>IF(AND($B4=1,G4&lt;&gt;"",NOT(ISNUMBER(FIND("*",G4)))),5,999999)</f>
        <v/>
      </c>
      <c r="BP4">
        <f>IF(AND($B4=1,H4&lt;&gt;"",NOT(ISNUMBER(FIND("*",H4)))),6,999999)</f>
        <v/>
      </c>
      <c r="BQ4">
        <f>IF(AND($B4=1,I4&lt;&gt;"",NOT(ISNUMBER(FIND("*",I4)))),7,999999)</f>
        <v/>
      </c>
      <c r="BR4">
        <f>IF(AND($B4=1,J4&lt;&gt;"",NOT(ISNUMBER(FIND("*",J4)))),8,999999)</f>
        <v/>
      </c>
      <c r="BS4">
        <f>IF(AND($B4=1,K4&lt;&gt;"",NOT(ISNUMBER(FIND("*",K4)))),9,999999)</f>
        <v/>
      </c>
      <c r="BT4">
        <f>IF(AND($B4=1,L4&lt;&gt;"",NOT(ISNUMBER(FIND("*",L4)))),10,999999)</f>
        <v/>
      </c>
      <c r="BU4">
        <f>IF(AND($B4=1,M4&lt;&gt;"",NOT(ISNUMBER(FIND("*",M4)))),11,999999)</f>
        <v/>
      </c>
      <c r="BV4">
        <f>IF(AND($B4=1,N4&lt;&gt;"",NOT(ISNUMBER(FIND("*",N4)))),12,999999)</f>
        <v/>
      </c>
      <c r="BW4">
        <f>IF(AND($B4=1,O4&lt;&gt;"",NOT(ISNUMBER(FIND("*",O4)))),13,999999)</f>
        <v/>
      </c>
      <c r="BX4">
        <f>IF(AND($B4=1,P4&lt;&gt;"",NOT(ISNUMBER(FIND("*",P4)))),14,999999)</f>
        <v/>
      </c>
      <c r="BY4">
        <f>IF(AND($B4=1,Q4&lt;&gt;"",NOT(ISNUMBER(FIND("*",Q4)))),15,999999)</f>
        <v/>
      </c>
      <c r="BZ4">
        <f>IF(AND($B4=1,R4&lt;&gt;"",NOT(ISNUMBER(FIND("*",R4)))),16,999999)</f>
        <v/>
      </c>
      <c r="CA4">
        <f>IF(AND($B4=1,S4&lt;&gt;"",NOT(ISNUMBER(FIND("*",S4)))),17,999999)</f>
        <v/>
      </c>
      <c r="CB4">
        <f>IF(AND($B4=1,T4&lt;&gt;"",NOT(ISNUMBER(FIND("*",T4)))),18,999999)</f>
        <v/>
      </c>
      <c r="CC4">
        <f>IF(AND($B4=1,U4&lt;&gt;"",NOT(ISNUMBER(FIND("*",U4)))),19,999999)</f>
        <v/>
      </c>
      <c r="CD4">
        <f>IF(AND($B4=1,V4&lt;&gt;"",NOT(ISNUMBER(FIND("*",V4)))),20,999999)</f>
        <v/>
      </c>
      <c r="CE4">
        <f>IF(MIN(AQ4:BJ4)&gt;=999999999,0,MATCH(MIN(AQ4:BJ4),AQ4:BJ4,0))</f>
        <v/>
      </c>
      <c r="CF4">
        <f>IF($CE4=1,999999999,W4)</f>
        <v/>
      </c>
      <c r="CG4">
        <f>IF($CE4=2,999999999,X4)</f>
        <v/>
      </c>
      <c r="CH4">
        <f>IF($CE4=3,999999999,Y4)</f>
        <v/>
      </c>
      <c r="CI4">
        <f>IF($CE4=4,999999999,Z4)</f>
        <v/>
      </c>
      <c r="CJ4">
        <f>IF($CE4=5,999999999,AA4)</f>
        <v/>
      </c>
      <c r="CK4">
        <f>IF($CE4=6,999999999,AB4)</f>
        <v/>
      </c>
      <c r="CL4">
        <f>IF($CE4=7,999999999,AC4)</f>
        <v/>
      </c>
      <c r="CM4">
        <f>IF($CE4=8,999999999,AD4)</f>
        <v/>
      </c>
      <c r="CN4">
        <f>IF($CE4=9,999999999,AE4)</f>
        <v/>
      </c>
      <c r="CO4">
        <f>IF($CE4=10,999999999,AF4)</f>
        <v/>
      </c>
      <c r="CP4">
        <f>IF($CE4=11,999999999,AG4)</f>
        <v/>
      </c>
      <c r="CQ4">
        <f>IF($CE4=12,999999999,AH4)</f>
        <v/>
      </c>
      <c r="CR4">
        <f>IF($CE4=13,999999999,AI4)</f>
        <v/>
      </c>
      <c r="CS4">
        <f>IF($CE4=14,999999999,AJ4)</f>
        <v/>
      </c>
      <c r="CT4">
        <f>IF($CE4=15,999999999,AK4)</f>
        <v/>
      </c>
      <c r="CU4">
        <f>IF($CE4=16,999999999,AL4)</f>
        <v/>
      </c>
      <c r="CV4">
        <f>IF($CE4=17,999999999,AM4)</f>
        <v/>
      </c>
      <c r="CW4">
        <f>IF($CE4=18,999999999,AN4)</f>
        <v/>
      </c>
      <c r="CX4">
        <f>IF($CE4=19,999999999,AO4)</f>
        <v/>
      </c>
      <c r="CY4">
        <f>IF($CE4=20,999999999,AP4)</f>
        <v/>
      </c>
      <c r="CZ4">
        <f>COUNTIF(W4:AP4,"&lt;999999999")</f>
        <v/>
      </c>
      <c r="DA4">
        <f>COUNTIF(BK4:CD4,"&lt;999999")</f>
        <v/>
      </c>
      <c r="DB4">
        <f>$CZ4-IF($CE4&gt;0,1,0)</f>
        <v/>
      </c>
      <c r="DC4">
        <f>IF(OR($B4=0,C4=""),0,DC3+1)</f>
        <v/>
      </c>
      <c r="DD4">
        <f>IF(OR($B4=0,D4=""),0,DD3+1)</f>
        <v/>
      </c>
      <c r="DE4">
        <f>IF(OR($B4=0,E4=""),0,DE3+1)</f>
        <v/>
      </c>
      <c r="DF4">
        <f>IF(OR($B4=0,F4=""),0,DF3+1)</f>
        <v/>
      </c>
      <c r="DG4">
        <f>IF(OR($B4=0,G4=""),0,DG3+1)</f>
        <v/>
      </c>
      <c r="DH4">
        <f>IF(OR($B4=0,H4=""),0,DH3+1)</f>
        <v/>
      </c>
      <c r="DI4">
        <f>IF(OR($B4=0,I4=""),0,DI3+1)</f>
        <v/>
      </c>
      <c r="DJ4">
        <f>IF(OR($B4=0,J4=""),0,DJ3+1)</f>
        <v/>
      </c>
      <c r="DK4">
        <f>IF(OR($B4=0,K4=""),0,DK3+1)</f>
        <v/>
      </c>
      <c r="DL4">
        <f>IF(OR($B4=0,L4=""),0,DL3+1)</f>
        <v/>
      </c>
      <c r="DM4">
        <f>IF(OR($B4=0,M4=""),0,DM3+1)</f>
        <v/>
      </c>
      <c r="DN4">
        <f>IF(OR($B4=0,N4=""),0,DN3+1)</f>
        <v/>
      </c>
      <c r="DO4">
        <f>IF(OR($B4=0,O4=""),0,DO3+1)</f>
        <v/>
      </c>
      <c r="DP4">
        <f>IF(OR($B4=0,P4=""),0,DP3+1)</f>
        <v/>
      </c>
      <c r="DQ4">
        <f>IF(OR($B4=0,Q4=""),0,DQ3+1)</f>
        <v/>
      </c>
      <c r="DR4">
        <f>IF(OR($B4=0,R4=""),0,DR3+1)</f>
        <v/>
      </c>
      <c r="DS4">
        <f>IF(OR($B4=0,S4=""),0,DS3+1)</f>
        <v/>
      </c>
      <c r="DT4">
        <f>IF(OR($B4=0,T4=""),0,DT3+1)</f>
        <v/>
      </c>
      <c r="DU4">
        <f>IF(OR($B4=0,U4=""),0,DU3+1)</f>
        <v/>
      </c>
      <c r="DV4">
        <f>IF(OR($B4=0,V4=""),0,DV3+1)</f>
        <v/>
      </c>
      <c r="DW4">
        <f>'ตารางเวร'!D$7</f>
        <v/>
      </c>
      <c r="DX4">
        <f>IF($B4=0,0,IF(WEEKDAY('ตารางเวร'!D$6,2)=IFERROR(MATCH('ตารางเวร'!$AM$11,'ตารางเวร'!$AO$10:$AO$17,0),0),1,0))</f>
        <v/>
      </c>
    </row>
    <row r="5">
      <c r="A5" t="n">
        <v>3</v>
      </c>
      <c r="B5">
        <f>IF(3&gt;DAY(EOMONTH(DATE('ตารางเวร'!$B$3-543,'ตารางเวร'!$B$2,1),0)),0,1)</f>
        <v/>
      </c>
      <c r="C5">
        <f>IF($B5=0,"",IFERROR(TRIM(INDEX('ตารางเวร'!$C$10:$AG$29,1,$A5)),""))</f>
        <v/>
      </c>
      <c r="D5">
        <f>IF($B5=0,"",IFERROR(TRIM(INDEX('ตารางเวร'!$C$10:$AG$29,2,$A5)),""))</f>
        <v/>
      </c>
      <c r="E5">
        <f>IF($B5=0,"",IFERROR(TRIM(INDEX('ตารางเวร'!$C$10:$AG$29,3,$A5)),""))</f>
        <v/>
      </c>
      <c r="F5">
        <f>IF($B5=0,"",IFERROR(TRIM(INDEX('ตารางเวร'!$C$10:$AG$29,4,$A5)),""))</f>
        <v/>
      </c>
      <c r="G5">
        <f>IF($B5=0,"",IFERROR(TRIM(INDEX('ตารางเวร'!$C$10:$AG$29,5,$A5)),""))</f>
        <v/>
      </c>
      <c r="H5">
        <f>IF($B5=0,"",IFERROR(TRIM(INDEX('ตารางเวร'!$C$10:$AG$29,6,$A5)),""))</f>
        <v/>
      </c>
      <c r="I5">
        <f>IF($B5=0,"",IFERROR(TRIM(INDEX('ตารางเวร'!$C$10:$AG$29,7,$A5)),""))</f>
        <v/>
      </c>
      <c r="J5">
        <f>IF($B5=0,"",IFERROR(TRIM(INDEX('ตารางเวร'!$C$10:$AG$29,8,$A5)),""))</f>
        <v/>
      </c>
      <c r="K5">
        <f>IF($B5=0,"",IFERROR(TRIM(INDEX('ตารางเวร'!$C$10:$AG$29,9,$A5)),""))</f>
        <v/>
      </c>
      <c r="L5">
        <f>IF($B5=0,"",IFERROR(TRIM(INDEX('ตารางเวร'!$C$10:$AG$29,10,$A5)),""))</f>
        <v/>
      </c>
      <c r="M5">
        <f>IF($B5=0,"",IFERROR(TRIM(INDEX('ตารางเวร'!$C$10:$AG$29,11,$A5)),""))</f>
        <v/>
      </c>
      <c r="N5">
        <f>IF($B5=0,"",IFERROR(TRIM(INDEX('ตารางเวร'!$C$10:$AG$29,12,$A5)),""))</f>
        <v/>
      </c>
      <c r="O5">
        <f>IF($B5=0,"",IFERROR(TRIM(INDEX('ตารางเวร'!$C$10:$AG$29,13,$A5)),""))</f>
        <v/>
      </c>
      <c r="P5">
        <f>IF($B5=0,"",IFERROR(TRIM(INDEX('ตารางเวร'!$C$10:$AG$29,14,$A5)),""))</f>
        <v/>
      </c>
      <c r="Q5">
        <f>IF($B5=0,"",IFERROR(TRIM(INDEX('ตารางเวร'!$C$10:$AG$29,15,$A5)),""))</f>
        <v/>
      </c>
      <c r="R5">
        <f>IF($B5=0,"",IFERROR(TRIM(INDEX('ตารางเวร'!$C$10:$AG$29,16,$A5)),""))</f>
        <v/>
      </c>
      <c r="S5">
        <f>IF($B5=0,"",IFERROR(TRIM(INDEX('ตารางเวร'!$C$10:$AG$29,17,$A5)),""))</f>
        <v/>
      </c>
      <c r="T5">
        <f>IF($B5=0,"",IFERROR(TRIM(INDEX('ตารางเวร'!$C$10:$AG$29,18,$A5)),""))</f>
        <v/>
      </c>
      <c r="U5">
        <f>IF($B5=0,"",IFERROR(TRIM(INDEX('ตารางเวร'!$C$10:$AG$29,19,$A5)),""))</f>
        <v/>
      </c>
      <c r="V5">
        <f>IF($B5=0,"",IFERROR(TRIM(INDEX('ตารางเวร'!$C$10:$AG$29,20,$A5)),""))</f>
        <v/>
      </c>
      <c r="W5">
        <f>IF(AND($B5=1,C5&lt;&gt;"",ISNUMBER(FIND("*",C5))),MOD((MOD('ตารางเวร'!$B$4,9973)*7919+$A5*40289)*(1*104729+7919),99991)*100+1,999999999)</f>
        <v/>
      </c>
      <c r="X5">
        <f>IF(AND($B5=1,D5&lt;&gt;"",ISNUMBER(FIND("*",D5))),MOD((MOD('ตารางเวร'!$B$4,9973)*7919+$A5*40289)*(2*104729+7919),99991)*100+2,999999999)</f>
        <v/>
      </c>
      <c r="Y5">
        <f>IF(AND($B5=1,E5&lt;&gt;"",ISNUMBER(FIND("*",E5))),MOD((MOD('ตารางเวร'!$B$4,9973)*7919+$A5*40289)*(3*104729+7919),99991)*100+3,999999999)</f>
        <v/>
      </c>
      <c r="Z5">
        <f>IF(AND($B5=1,F5&lt;&gt;"",ISNUMBER(FIND("*",F5))),MOD((MOD('ตารางเวร'!$B$4,9973)*7919+$A5*40289)*(4*104729+7919),99991)*100+4,999999999)</f>
        <v/>
      </c>
      <c r="AA5">
        <f>IF(AND($B5=1,G5&lt;&gt;"",ISNUMBER(FIND("*",G5))),MOD((MOD('ตารางเวร'!$B$4,9973)*7919+$A5*40289)*(5*104729+7919),99991)*100+5,999999999)</f>
        <v/>
      </c>
      <c r="AB5">
        <f>IF(AND($B5=1,H5&lt;&gt;"",ISNUMBER(FIND("*",H5))),MOD((MOD('ตารางเวร'!$B$4,9973)*7919+$A5*40289)*(6*104729+7919),99991)*100+6,999999999)</f>
        <v/>
      </c>
      <c r="AC5">
        <f>IF(AND($B5=1,I5&lt;&gt;"",ISNUMBER(FIND("*",I5))),MOD((MOD('ตารางเวร'!$B$4,9973)*7919+$A5*40289)*(7*104729+7919),99991)*100+7,999999999)</f>
        <v/>
      </c>
      <c r="AD5">
        <f>IF(AND($B5=1,J5&lt;&gt;"",ISNUMBER(FIND("*",J5))),MOD((MOD('ตารางเวร'!$B$4,9973)*7919+$A5*40289)*(8*104729+7919),99991)*100+8,999999999)</f>
        <v/>
      </c>
      <c r="AE5">
        <f>IF(AND($B5=1,K5&lt;&gt;"",ISNUMBER(FIND("*",K5))),MOD((MOD('ตารางเวร'!$B$4,9973)*7919+$A5*40289)*(9*104729+7919),99991)*100+9,999999999)</f>
        <v/>
      </c>
      <c r="AF5">
        <f>IF(AND($B5=1,L5&lt;&gt;"",ISNUMBER(FIND("*",L5))),MOD((MOD('ตารางเวร'!$B$4,9973)*7919+$A5*40289)*(10*104729+7919),99991)*100+10,999999999)</f>
        <v/>
      </c>
      <c r="AG5">
        <f>IF(AND($B5=1,M5&lt;&gt;"",ISNUMBER(FIND("*",M5))),MOD((MOD('ตารางเวร'!$B$4,9973)*7919+$A5*40289)*(11*104729+7919),99991)*100+11,999999999)</f>
        <v/>
      </c>
      <c r="AH5">
        <f>IF(AND($B5=1,N5&lt;&gt;"",ISNUMBER(FIND("*",N5))),MOD((MOD('ตารางเวร'!$B$4,9973)*7919+$A5*40289)*(12*104729+7919),99991)*100+12,999999999)</f>
        <v/>
      </c>
      <c r="AI5">
        <f>IF(AND($B5=1,O5&lt;&gt;"",ISNUMBER(FIND("*",O5))),MOD((MOD('ตารางเวร'!$B$4,9973)*7919+$A5*40289)*(13*104729+7919),99991)*100+13,999999999)</f>
        <v/>
      </c>
      <c r="AJ5">
        <f>IF(AND($B5=1,P5&lt;&gt;"",ISNUMBER(FIND("*",P5))),MOD((MOD('ตารางเวร'!$B$4,9973)*7919+$A5*40289)*(14*104729+7919),99991)*100+14,999999999)</f>
        <v/>
      </c>
      <c r="AK5">
        <f>IF(AND($B5=1,Q5&lt;&gt;"",ISNUMBER(FIND("*",Q5))),MOD((MOD('ตารางเวร'!$B$4,9973)*7919+$A5*40289)*(15*104729+7919),99991)*100+15,999999999)</f>
        <v/>
      </c>
      <c r="AL5">
        <f>IF(AND($B5=1,R5&lt;&gt;"",ISNUMBER(FIND("*",R5))),MOD((MOD('ตารางเวร'!$B$4,9973)*7919+$A5*40289)*(16*104729+7919),99991)*100+16,999999999)</f>
        <v/>
      </c>
      <c r="AM5">
        <f>IF(AND($B5=1,S5&lt;&gt;"",ISNUMBER(FIND("*",S5))),MOD((MOD('ตารางเวร'!$B$4,9973)*7919+$A5*40289)*(17*104729+7919),99991)*100+17,999999999)</f>
        <v/>
      </c>
      <c r="AN5">
        <f>IF(AND($B5=1,T5&lt;&gt;"",ISNUMBER(FIND("*",T5))),MOD((MOD('ตารางเวร'!$B$4,9973)*7919+$A5*40289)*(18*104729+7919),99991)*100+18,999999999)</f>
        <v/>
      </c>
      <c r="AO5">
        <f>IF(AND($B5=1,U5&lt;&gt;"",ISNUMBER(FIND("*",U5))),MOD((MOD('ตารางเวร'!$B$4,9973)*7919+$A5*40289)*(19*104729+7919),99991)*100+19,999999999)</f>
        <v/>
      </c>
      <c r="AP5">
        <f>IF(AND($B5=1,V5&lt;&gt;"",ISNUMBER(FIND("*",V5))),MOD((MOD('ตารางเวร'!$B$4,9973)*7919+$A5*40289)*(20*104729+7919),99991)*100+20,999999999)</f>
        <v/>
      </c>
      <c r="AQ5">
        <f>IF(TRIM('ตารางเวร'!$B$10)&lt;&gt;"",999999999,W5)</f>
        <v/>
      </c>
      <c r="AR5">
        <f>IF(TRIM('ตารางเวร'!$B$11)&lt;&gt;"",999999999,X5)</f>
        <v/>
      </c>
      <c r="AS5">
        <f>IF(TRIM('ตารางเวร'!$B$12)&lt;&gt;"",999999999,Y5)</f>
        <v/>
      </c>
      <c r="AT5">
        <f>IF(TRIM('ตารางเวร'!$B$13)&lt;&gt;"",999999999,Z5)</f>
        <v/>
      </c>
      <c r="AU5">
        <f>IF(TRIM('ตารางเวร'!$B$14)&lt;&gt;"",999999999,AA5)</f>
        <v/>
      </c>
      <c r="AV5">
        <f>IF(TRIM('ตารางเวร'!$B$15)&lt;&gt;"",999999999,AB5)</f>
        <v/>
      </c>
      <c r="AW5">
        <f>IF(TRIM('ตารางเวร'!$B$16)&lt;&gt;"",999999999,AC5)</f>
        <v/>
      </c>
      <c r="AX5">
        <f>IF(TRIM('ตารางเวร'!$B$17)&lt;&gt;"",999999999,AD5)</f>
        <v/>
      </c>
      <c r="AY5">
        <f>IF(TRIM('ตารางเวร'!$B$18)&lt;&gt;"",999999999,AE5)</f>
        <v/>
      </c>
      <c r="AZ5">
        <f>IF(TRIM('ตารางเวร'!$B$19)&lt;&gt;"",999999999,AF5)</f>
        <v/>
      </c>
      <c r="BA5">
        <f>IF(TRIM('ตารางเวร'!$B$20)&lt;&gt;"",999999999,AG5)</f>
        <v/>
      </c>
      <c r="BB5">
        <f>IF(TRIM('ตารางเวร'!$B$21)&lt;&gt;"",999999999,AH5)</f>
        <v/>
      </c>
      <c r="BC5">
        <f>IF(TRIM('ตารางเวร'!$B$22)&lt;&gt;"",999999999,AI5)</f>
        <v/>
      </c>
      <c r="BD5">
        <f>IF(TRIM('ตารางเวร'!$B$23)&lt;&gt;"",999999999,AJ5)</f>
        <v/>
      </c>
      <c r="BE5">
        <f>IF(TRIM('ตารางเวร'!$B$24)&lt;&gt;"",999999999,AK5)</f>
        <v/>
      </c>
      <c r="BF5">
        <f>IF(TRIM('ตารางเวร'!$B$25)&lt;&gt;"",999999999,AL5)</f>
        <v/>
      </c>
      <c r="BG5">
        <f>IF(TRIM('ตารางเวร'!$B$26)&lt;&gt;"",999999999,AM5)</f>
        <v/>
      </c>
      <c r="BH5">
        <f>IF(TRIM('ตารางเวร'!$B$27)&lt;&gt;"",999999999,AN5)</f>
        <v/>
      </c>
      <c r="BI5">
        <f>IF(TRIM('ตารางเวร'!$B$28)&lt;&gt;"",999999999,AO5)</f>
        <v/>
      </c>
      <c r="BJ5">
        <f>IF(TRIM('ตารางเวร'!$B$29)&lt;&gt;"",999999999,AP5)</f>
        <v/>
      </c>
      <c r="BK5">
        <f>IF(AND($B5=1,C5&lt;&gt;"",NOT(ISNUMBER(FIND("*",C5)))),1,999999)</f>
        <v/>
      </c>
      <c r="BL5">
        <f>IF(AND($B5=1,D5&lt;&gt;"",NOT(ISNUMBER(FIND("*",D5)))),2,999999)</f>
        <v/>
      </c>
      <c r="BM5">
        <f>IF(AND($B5=1,E5&lt;&gt;"",NOT(ISNUMBER(FIND("*",E5)))),3,999999)</f>
        <v/>
      </c>
      <c r="BN5">
        <f>IF(AND($B5=1,F5&lt;&gt;"",NOT(ISNUMBER(FIND("*",F5)))),4,999999)</f>
        <v/>
      </c>
      <c r="BO5">
        <f>IF(AND($B5=1,G5&lt;&gt;"",NOT(ISNUMBER(FIND("*",G5)))),5,999999)</f>
        <v/>
      </c>
      <c r="BP5">
        <f>IF(AND($B5=1,H5&lt;&gt;"",NOT(ISNUMBER(FIND("*",H5)))),6,999999)</f>
        <v/>
      </c>
      <c r="BQ5">
        <f>IF(AND($B5=1,I5&lt;&gt;"",NOT(ISNUMBER(FIND("*",I5)))),7,999999)</f>
        <v/>
      </c>
      <c r="BR5">
        <f>IF(AND($B5=1,J5&lt;&gt;"",NOT(ISNUMBER(FIND("*",J5)))),8,999999)</f>
        <v/>
      </c>
      <c r="BS5">
        <f>IF(AND($B5=1,K5&lt;&gt;"",NOT(ISNUMBER(FIND("*",K5)))),9,999999)</f>
        <v/>
      </c>
      <c r="BT5">
        <f>IF(AND($B5=1,L5&lt;&gt;"",NOT(ISNUMBER(FIND("*",L5)))),10,999999)</f>
        <v/>
      </c>
      <c r="BU5">
        <f>IF(AND($B5=1,M5&lt;&gt;"",NOT(ISNUMBER(FIND("*",M5)))),11,999999)</f>
        <v/>
      </c>
      <c r="BV5">
        <f>IF(AND($B5=1,N5&lt;&gt;"",NOT(ISNUMBER(FIND("*",N5)))),12,999999)</f>
        <v/>
      </c>
      <c r="BW5">
        <f>IF(AND($B5=1,O5&lt;&gt;"",NOT(ISNUMBER(FIND("*",O5)))),13,999999)</f>
        <v/>
      </c>
      <c r="BX5">
        <f>IF(AND($B5=1,P5&lt;&gt;"",NOT(ISNUMBER(FIND("*",P5)))),14,999999)</f>
        <v/>
      </c>
      <c r="BY5">
        <f>IF(AND($B5=1,Q5&lt;&gt;"",NOT(ISNUMBER(FIND("*",Q5)))),15,999999)</f>
        <v/>
      </c>
      <c r="BZ5">
        <f>IF(AND($B5=1,R5&lt;&gt;"",NOT(ISNUMBER(FIND("*",R5)))),16,999999)</f>
        <v/>
      </c>
      <c r="CA5">
        <f>IF(AND($B5=1,S5&lt;&gt;"",NOT(ISNUMBER(FIND("*",S5)))),17,999999)</f>
        <v/>
      </c>
      <c r="CB5">
        <f>IF(AND($B5=1,T5&lt;&gt;"",NOT(ISNUMBER(FIND("*",T5)))),18,999999)</f>
        <v/>
      </c>
      <c r="CC5">
        <f>IF(AND($B5=1,U5&lt;&gt;"",NOT(ISNUMBER(FIND("*",U5)))),19,999999)</f>
        <v/>
      </c>
      <c r="CD5">
        <f>IF(AND($B5=1,V5&lt;&gt;"",NOT(ISNUMBER(FIND("*",V5)))),20,999999)</f>
        <v/>
      </c>
      <c r="CE5">
        <f>IF(MIN(AQ5:BJ5)&gt;=999999999,0,MATCH(MIN(AQ5:BJ5),AQ5:BJ5,0))</f>
        <v/>
      </c>
      <c r="CF5">
        <f>IF($CE5=1,999999999,W5)</f>
        <v/>
      </c>
      <c r="CG5">
        <f>IF($CE5=2,999999999,X5)</f>
        <v/>
      </c>
      <c r="CH5">
        <f>IF($CE5=3,999999999,Y5)</f>
        <v/>
      </c>
      <c r="CI5">
        <f>IF($CE5=4,999999999,Z5)</f>
        <v/>
      </c>
      <c r="CJ5">
        <f>IF($CE5=5,999999999,AA5)</f>
        <v/>
      </c>
      <c r="CK5">
        <f>IF($CE5=6,999999999,AB5)</f>
        <v/>
      </c>
      <c r="CL5">
        <f>IF($CE5=7,999999999,AC5)</f>
        <v/>
      </c>
      <c r="CM5">
        <f>IF($CE5=8,999999999,AD5)</f>
        <v/>
      </c>
      <c r="CN5">
        <f>IF($CE5=9,999999999,AE5)</f>
        <v/>
      </c>
      <c r="CO5">
        <f>IF($CE5=10,999999999,AF5)</f>
        <v/>
      </c>
      <c r="CP5">
        <f>IF($CE5=11,999999999,AG5)</f>
        <v/>
      </c>
      <c r="CQ5">
        <f>IF($CE5=12,999999999,AH5)</f>
        <v/>
      </c>
      <c r="CR5">
        <f>IF($CE5=13,999999999,AI5)</f>
        <v/>
      </c>
      <c r="CS5">
        <f>IF($CE5=14,999999999,AJ5)</f>
        <v/>
      </c>
      <c r="CT5">
        <f>IF($CE5=15,999999999,AK5)</f>
        <v/>
      </c>
      <c r="CU5">
        <f>IF($CE5=16,999999999,AL5)</f>
        <v/>
      </c>
      <c r="CV5">
        <f>IF($CE5=17,999999999,AM5)</f>
        <v/>
      </c>
      <c r="CW5">
        <f>IF($CE5=18,999999999,AN5)</f>
        <v/>
      </c>
      <c r="CX5">
        <f>IF($CE5=19,999999999,AO5)</f>
        <v/>
      </c>
      <c r="CY5">
        <f>IF($CE5=20,999999999,AP5)</f>
        <v/>
      </c>
      <c r="CZ5">
        <f>COUNTIF(W5:AP5,"&lt;999999999")</f>
        <v/>
      </c>
      <c r="DA5">
        <f>COUNTIF(BK5:CD5,"&lt;999999")</f>
        <v/>
      </c>
      <c r="DB5">
        <f>$CZ5-IF($CE5&gt;0,1,0)</f>
        <v/>
      </c>
      <c r="DC5">
        <f>IF(OR($B5=0,C5=""),0,DC4+1)</f>
        <v/>
      </c>
      <c r="DD5">
        <f>IF(OR($B5=0,D5=""),0,DD4+1)</f>
        <v/>
      </c>
      <c r="DE5">
        <f>IF(OR($B5=0,E5=""),0,DE4+1)</f>
        <v/>
      </c>
      <c r="DF5">
        <f>IF(OR($B5=0,F5=""),0,DF4+1)</f>
        <v/>
      </c>
      <c r="DG5">
        <f>IF(OR($B5=0,G5=""),0,DG4+1)</f>
        <v/>
      </c>
      <c r="DH5">
        <f>IF(OR($B5=0,H5=""),0,DH4+1)</f>
        <v/>
      </c>
      <c r="DI5">
        <f>IF(OR($B5=0,I5=""),0,DI4+1)</f>
        <v/>
      </c>
      <c r="DJ5">
        <f>IF(OR($B5=0,J5=""),0,DJ4+1)</f>
        <v/>
      </c>
      <c r="DK5">
        <f>IF(OR($B5=0,K5=""),0,DK4+1)</f>
        <v/>
      </c>
      <c r="DL5">
        <f>IF(OR($B5=0,L5=""),0,DL4+1)</f>
        <v/>
      </c>
      <c r="DM5">
        <f>IF(OR($B5=0,M5=""),0,DM4+1)</f>
        <v/>
      </c>
      <c r="DN5">
        <f>IF(OR($B5=0,N5=""),0,DN4+1)</f>
        <v/>
      </c>
      <c r="DO5">
        <f>IF(OR($B5=0,O5=""),0,DO4+1)</f>
        <v/>
      </c>
      <c r="DP5">
        <f>IF(OR($B5=0,P5=""),0,DP4+1)</f>
        <v/>
      </c>
      <c r="DQ5">
        <f>IF(OR($B5=0,Q5=""),0,DQ4+1)</f>
        <v/>
      </c>
      <c r="DR5">
        <f>IF(OR($B5=0,R5=""),0,DR4+1)</f>
        <v/>
      </c>
      <c r="DS5">
        <f>IF(OR($B5=0,S5=""),0,DS4+1)</f>
        <v/>
      </c>
      <c r="DT5">
        <f>IF(OR($B5=0,T5=""),0,DT4+1)</f>
        <v/>
      </c>
      <c r="DU5">
        <f>IF(OR($B5=0,U5=""),0,DU4+1)</f>
        <v/>
      </c>
      <c r="DV5">
        <f>IF(OR($B5=0,V5=""),0,DV4+1)</f>
        <v/>
      </c>
      <c r="DW5">
        <f>'ตารางเวร'!E$7</f>
        <v/>
      </c>
      <c r="DX5">
        <f>IF($B5=0,0,IF(WEEKDAY('ตารางเวร'!E$6,2)=IFERROR(MATCH('ตารางเวร'!$AM$11,'ตารางเวร'!$AO$10:$AO$17,0),0),1,0))</f>
        <v/>
      </c>
    </row>
    <row r="6">
      <c r="A6" t="n">
        <v>4</v>
      </c>
      <c r="B6">
        <f>IF(4&gt;DAY(EOMONTH(DATE('ตารางเวร'!$B$3-543,'ตารางเวร'!$B$2,1),0)),0,1)</f>
        <v/>
      </c>
      <c r="C6">
        <f>IF($B6=0,"",IFERROR(TRIM(INDEX('ตารางเวร'!$C$10:$AG$29,1,$A6)),""))</f>
        <v/>
      </c>
      <c r="D6">
        <f>IF($B6=0,"",IFERROR(TRIM(INDEX('ตารางเวร'!$C$10:$AG$29,2,$A6)),""))</f>
        <v/>
      </c>
      <c r="E6">
        <f>IF($B6=0,"",IFERROR(TRIM(INDEX('ตารางเวร'!$C$10:$AG$29,3,$A6)),""))</f>
        <v/>
      </c>
      <c r="F6">
        <f>IF($B6=0,"",IFERROR(TRIM(INDEX('ตารางเวร'!$C$10:$AG$29,4,$A6)),""))</f>
        <v/>
      </c>
      <c r="G6">
        <f>IF($B6=0,"",IFERROR(TRIM(INDEX('ตารางเวร'!$C$10:$AG$29,5,$A6)),""))</f>
        <v/>
      </c>
      <c r="H6">
        <f>IF($B6=0,"",IFERROR(TRIM(INDEX('ตารางเวร'!$C$10:$AG$29,6,$A6)),""))</f>
        <v/>
      </c>
      <c r="I6">
        <f>IF($B6=0,"",IFERROR(TRIM(INDEX('ตารางเวร'!$C$10:$AG$29,7,$A6)),""))</f>
        <v/>
      </c>
      <c r="J6">
        <f>IF($B6=0,"",IFERROR(TRIM(INDEX('ตารางเวร'!$C$10:$AG$29,8,$A6)),""))</f>
        <v/>
      </c>
      <c r="K6">
        <f>IF($B6=0,"",IFERROR(TRIM(INDEX('ตารางเวร'!$C$10:$AG$29,9,$A6)),""))</f>
        <v/>
      </c>
      <c r="L6">
        <f>IF($B6=0,"",IFERROR(TRIM(INDEX('ตารางเวร'!$C$10:$AG$29,10,$A6)),""))</f>
        <v/>
      </c>
      <c r="M6">
        <f>IF($B6=0,"",IFERROR(TRIM(INDEX('ตารางเวร'!$C$10:$AG$29,11,$A6)),""))</f>
        <v/>
      </c>
      <c r="N6">
        <f>IF($B6=0,"",IFERROR(TRIM(INDEX('ตารางเวร'!$C$10:$AG$29,12,$A6)),""))</f>
        <v/>
      </c>
      <c r="O6">
        <f>IF($B6=0,"",IFERROR(TRIM(INDEX('ตารางเวร'!$C$10:$AG$29,13,$A6)),""))</f>
        <v/>
      </c>
      <c r="P6">
        <f>IF($B6=0,"",IFERROR(TRIM(INDEX('ตารางเวร'!$C$10:$AG$29,14,$A6)),""))</f>
        <v/>
      </c>
      <c r="Q6">
        <f>IF($B6=0,"",IFERROR(TRIM(INDEX('ตารางเวร'!$C$10:$AG$29,15,$A6)),""))</f>
        <v/>
      </c>
      <c r="R6">
        <f>IF($B6=0,"",IFERROR(TRIM(INDEX('ตารางเวร'!$C$10:$AG$29,16,$A6)),""))</f>
        <v/>
      </c>
      <c r="S6">
        <f>IF($B6=0,"",IFERROR(TRIM(INDEX('ตารางเวร'!$C$10:$AG$29,17,$A6)),""))</f>
        <v/>
      </c>
      <c r="T6">
        <f>IF($B6=0,"",IFERROR(TRIM(INDEX('ตารางเวร'!$C$10:$AG$29,18,$A6)),""))</f>
        <v/>
      </c>
      <c r="U6">
        <f>IF($B6=0,"",IFERROR(TRIM(INDEX('ตารางเวร'!$C$10:$AG$29,19,$A6)),""))</f>
        <v/>
      </c>
      <c r="V6">
        <f>IF($B6=0,"",IFERROR(TRIM(INDEX('ตารางเวร'!$C$10:$AG$29,20,$A6)),""))</f>
        <v/>
      </c>
      <c r="W6">
        <f>IF(AND($B6=1,C6&lt;&gt;"",ISNUMBER(FIND("*",C6))),MOD((MOD('ตารางเวร'!$B$4,9973)*7919+$A6*40289)*(1*104729+7919),99991)*100+1,999999999)</f>
        <v/>
      </c>
      <c r="X6">
        <f>IF(AND($B6=1,D6&lt;&gt;"",ISNUMBER(FIND("*",D6))),MOD((MOD('ตารางเวร'!$B$4,9973)*7919+$A6*40289)*(2*104729+7919),99991)*100+2,999999999)</f>
        <v/>
      </c>
      <c r="Y6">
        <f>IF(AND($B6=1,E6&lt;&gt;"",ISNUMBER(FIND("*",E6))),MOD((MOD('ตารางเวร'!$B$4,9973)*7919+$A6*40289)*(3*104729+7919),99991)*100+3,999999999)</f>
        <v/>
      </c>
      <c r="Z6">
        <f>IF(AND($B6=1,F6&lt;&gt;"",ISNUMBER(FIND("*",F6))),MOD((MOD('ตารางเวร'!$B$4,9973)*7919+$A6*40289)*(4*104729+7919),99991)*100+4,999999999)</f>
        <v/>
      </c>
      <c r="AA6">
        <f>IF(AND($B6=1,G6&lt;&gt;"",ISNUMBER(FIND("*",G6))),MOD((MOD('ตารางเวร'!$B$4,9973)*7919+$A6*40289)*(5*104729+7919),99991)*100+5,999999999)</f>
        <v/>
      </c>
      <c r="AB6">
        <f>IF(AND($B6=1,H6&lt;&gt;"",ISNUMBER(FIND("*",H6))),MOD((MOD('ตารางเวร'!$B$4,9973)*7919+$A6*40289)*(6*104729+7919),99991)*100+6,999999999)</f>
        <v/>
      </c>
      <c r="AC6">
        <f>IF(AND($B6=1,I6&lt;&gt;"",ISNUMBER(FIND("*",I6))),MOD((MOD('ตารางเวร'!$B$4,9973)*7919+$A6*40289)*(7*104729+7919),99991)*100+7,999999999)</f>
        <v/>
      </c>
      <c r="AD6">
        <f>IF(AND($B6=1,J6&lt;&gt;"",ISNUMBER(FIND("*",J6))),MOD((MOD('ตารางเวร'!$B$4,9973)*7919+$A6*40289)*(8*104729+7919),99991)*100+8,999999999)</f>
        <v/>
      </c>
      <c r="AE6">
        <f>IF(AND($B6=1,K6&lt;&gt;"",ISNUMBER(FIND("*",K6))),MOD((MOD('ตารางเวร'!$B$4,9973)*7919+$A6*40289)*(9*104729+7919),99991)*100+9,999999999)</f>
        <v/>
      </c>
      <c r="AF6">
        <f>IF(AND($B6=1,L6&lt;&gt;"",ISNUMBER(FIND("*",L6))),MOD((MOD('ตารางเวร'!$B$4,9973)*7919+$A6*40289)*(10*104729+7919),99991)*100+10,999999999)</f>
        <v/>
      </c>
      <c r="AG6">
        <f>IF(AND($B6=1,M6&lt;&gt;"",ISNUMBER(FIND("*",M6))),MOD((MOD('ตารางเวร'!$B$4,9973)*7919+$A6*40289)*(11*104729+7919),99991)*100+11,999999999)</f>
        <v/>
      </c>
      <c r="AH6">
        <f>IF(AND($B6=1,N6&lt;&gt;"",ISNUMBER(FIND("*",N6))),MOD((MOD('ตารางเวร'!$B$4,9973)*7919+$A6*40289)*(12*104729+7919),99991)*100+12,999999999)</f>
        <v/>
      </c>
      <c r="AI6">
        <f>IF(AND($B6=1,O6&lt;&gt;"",ISNUMBER(FIND("*",O6))),MOD((MOD('ตารางเวร'!$B$4,9973)*7919+$A6*40289)*(13*104729+7919),99991)*100+13,999999999)</f>
        <v/>
      </c>
      <c r="AJ6">
        <f>IF(AND($B6=1,P6&lt;&gt;"",ISNUMBER(FIND("*",P6))),MOD((MOD('ตารางเวร'!$B$4,9973)*7919+$A6*40289)*(14*104729+7919),99991)*100+14,999999999)</f>
        <v/>
      </c>
      <c r="AK6">
        <f>IF(AND($B6=1,Q6&lt;&gt;"",ISNUMBER(FIND("*",Q6))),MOD((MOD('ตารางเวร'!$B$4,9973)*7919+$A6*40289)*(15*104729+7919),99991)*100+15,999999999)</f>
        <v/>
      </c>
      <c r="AL6">
        <f>IF(AND($B6=1,R6&lt;&gt;"",ISNUMBER(FIND("*",R6))),MOD((MOD('ตารางเวร'!$B$4,9973)*7919+$A6*40289)*(16*104729+7919),99991)*100+16,999999999)</f>
        <v/>
      </c>
      <c r="AM6">
        <f>IF(AND($B6=1,S6&lt;&gt;"",ISNUMBER(FIND("*",S6))),MOD((MOD('ตารางเวร'!$B$4,9973)*7919+$A6*40289)*(17*104729+7919),99991)*100+17,999999999)</f>
        <v/>
      </c>
      <c r="AN6">
        <f>IF(AND($B6=1,T6&lt;&gt;"",ISNUMBER(FIND("*",T6))),MOD((MOD('ตารางเวร'!$B$4,9973)*7919+$A6*40289)*(18*104729+7919),99991)*100+18,999999999)</f>
        <v/>
      </c>
      <c r="AO6">
        <f>IF(AND($B6=1,U6&lt;&gt;"",ISNUMBER(FIND("*",U6))),MOD((MOD('ตารางเวร'!$B$4,9973)*7919+$A6*40289)*(19*104729+7919),99991)*100+19,999999999)</f>
        <v/>
      </c>
      <c r="AP6">
        <f>IF(AND($B6=1,V6&lt;&gt;"",ISNUMBER(FIND("*",V6))),MOD((MOD('ตารางเวร'!$B$4,9973)*7919+$A6*40289)*(20*104729+7919),99991)*100+20,999999999)</f>
        <v/>
      </c>
      <c r="AQ6">
        <f>IF(TRIM('ตารางเวร'!$B$10)&lt;&gt;"",999999999,W6)</f>
        <v/>
      </c>
      <c r="AR6">
        <f>IF(TRIM('ตารางเวร'!$B$11)&lt;&gt;"",999999999,X6)</f>
        <v/>
      </c>
      <c r="AS6">
        <f>IF(TRIM('ตารางเวร'!$B$12)&lt;&gt;"",999999999,Y6)</f>
        <v/>
      </c>
      <c r="AT6">
        <f>IF(TRIM('ตารางเวร'!$B$13)&lt;&gt;"",999999999,Z6)</f>
        <v/>
      </c>
      <c r="AU6">
        <f>IF(TRIM('ตารางเวร'!$B$14)&lt;&gt;"",999999999,AA6)</f>
        <v/>
      </c>
      <c r="AV6">
        <f>IF(TRIM('ตารางเวร'!$B$15)&lt;&gt;"",999999999,AB6)</f>
        <v/>
      </c>
      <c r="AW6">
        <f>IF(TRIM('ตารางเวร'!$B$16)&lt;&gt;"",999999999,AC6)</f>
        <v/>
      </c>
      <c r="AX6">
        <f>IF(TRIM('ตารางเวร'!$B$17)&lt;&gt;"",999999999,AD6)</f>
        <v/>
      </c>
      <c r="AY6">
        <f>IF(TRIM('ตารางเวร'!$B$18)&lt;&gt;"",999999999,AE6)</f>
        <v/>
      </c>
      <c r="AZ6">
        <f>IF(TRIM('ตารางเวร'!$B$19)&lt;&gt;"",999999999,AF6)</f>
        <v/>
      </c>
      <c r="BA6">
        <f>IF(TRIM('ตารางเวร'!$B$20)&lt;&gt;"",999999999,AG6)</f>
        <v/>
      </c>
      <c r="BB6">
        <f>IF(TRIM('ตารางเวร'!$B$21)&lt;&gt;"",999999999,AH6)</f>
        <v/>
      </c>
      <c r="BC6">
        <f>IF(TRIM('ตารางเวร'!$B$22)&lt;&gt;"",999999999,AI6)</f>
        <v/>
      </c>
      <c r="BD6">
        <f>IF(TRIM('ตารางเวร'!$B$23)&lt;&gt;"",999999999,AJ6)</f>
        <v/>
      </c>
      <c r="BE6">
        <f>IF(TRIM('ตารางเวร'!$B$24)&lt;&gt;"",999999999,AK6)</f>
        <v/>
      </c>
      <c r="BF6">
        <f>IF(TRIM('ตารางเวร'!$B$25)&lt;&gt;"",999999999,AL6)</f>
        <v/>
      </c>
      <c r="BG6">
        <f>IF(TRIM('ตารางเวร'!$B$26)&lt;&gt;"",999999999,AM6)</f>
        <v/>
      </c>
      <c r="BH6">
        <f>IF(TRIM('ตารางเวร'!$B$27)&lt;&gt;"",999999999,AN6)</f>
        <v/>
      </c>
      <c r="BI6">
        <f>IF(TRIM('ตารางเวร'!$B$28)&lt;&gt;"",999999999,AO6)</f>
        <v/>
      </c>
      <c r="BJ6">
        <f>IF(TRIM('ตารางเวร'!$B$29)&lt;&gt;"",999999999,AP6)</f>
        <v/>
      </c>
      <c r="BK6">
        <f>IF(AND($B6=1,C6&lt;&gt;"",NOT(ISNUMBER(FIND("*",C6)))),1,999999)</f>
        <v/>
      </c>
      <c r="BL6">
        <f>IF(AND($B6=1,D6&lt;&gt;"",NOT(ISNUMBER(FIND("*",D6)))),2,999999)</f>
        <v/>
      </c>
      <c r="BM6">
        <f>IF(AND($B6=1,E6&lt;&gt;"",NOT(ISNUMBER(FIND("*",E6)))),3,999999)</f>
        <v/>
      </c>
      <c r="BN6">
        <f>IF(AND($B6=1,F6&lt;&gt;"",NOT(ISNUMBER(FIND("*",F6)))),4,999999)</f>
        <v/>
      </c>
      <c r="BO6">
        <f>IF(AND($B6=1,G6&lt;&gt;"",NOT(ISNUMBER(FIND("*",G6)))),5,999999)</f>
        <v/>
      </c>
      <c r="BP6">
        <f>IF(AND($B6=1,H6&lt;&gt;"",NOT(ISNUMBER(FIND("*",H6)))),6,999999)</f>
        <v/>
      </c>
      <c r="BQ6">
        <f>IF(AND($B6=1,I6&lt;&gt;"",NOT(ISNUMBER(FIND("*",I6)))),7,999999)</f>
        <v/>
      </c>
      <c r="BR6">
        <f>IF(AND($B6=1,J6&lt;&gt;"",NOT(ISNUMBER(FIND("*",J6)))),8,999999)</f>
        <v/>
      </c>
      <c r="BS6">
        <f>IF(AND($B6=1,K6&lt;&gt;"",NOT(ISNUMBER(FIND("*",K6)))),9,999999)</f>
        <v/>
      </c>
      <c r="BT6">
        <f>IF(AND($B6=1,L6&lt;&gt;"",NOT(ISNUMBER(FIND("*",L6)))),10,999999)</f>
        <v/>
      </c>
      <c r="BU6">
        <f>IF(AND($B6=1,M6&lt;&gt;"",NOT(ISNUMBER(FIND("*",M6)))),11,999999)</f>
        <v/>
      </c>
      <c r="BV6">
        <f>IF(AND($B6=1,N6&lt;&gt;"",NOT(ISNUMBER(FIND("*",N6)))),12,999999)</f>
        <v/>
      </c>
      <c r="BW6">
        <f>IF(AND($B6=1,O6&lt;&gt;"",NOT(ISNUMBER(FIND("*",O6)))),13,999999)</f>
        <v/>
      </c>
      <c r="BX6">
        <f>IF(AND($B6=1,P6&lt;&gt;"",NOT(ISNUMBER(FIND("*",P6)))),14,999999)</f>
        <v/>
      </c>
      <c r="BY6">
        <f>IF(AND($B6=1,Q6&lt;&gt;"",NOT(ISNUMBER(FIND("*",Q6)))),15,999999)</f>
        <v/>
      </c>
      <c r="BZ6">
        <f>IF(AND($B6=1,R6&lt;&gt;"",NOT(ISNUMBER(FIND("*",R6)))),16,999999)</f>
        <v/>
      </c>
      <c r="CA6">
        <f>IF(AND($B6=1,S6&lt;&gt;"",NOT(ISNUMBER(FIND("*",S6)))),17,999999)</f>
        <v/>
      </c>
      <c r="CB6">
        <f>IF(AND($B6=1,T6&lt;&gt;"",NOT(ISNUMBER(FIND("*",T6)))),18,999999)</f>
        <v/>
      </c>
      <c r="CC6">
        <f>IF(AND($B6=1,U6&lt;&gt;"",NOT(ISNUMBER(FIND("*",U6)))),19,999999)</f>
        <v/>
      </c>
      <c r="CD6">
        <f>IF(AND($B6=1,V6&lt;&gt;"",NOT(ISNUMBER(FIND("*",V6)))),20,999999)</f>
        <v/>
      </c>
      <c r="CE6">
        <f>IF(MIN(AQ6:BJ6)&gt;=999999999,0,MATCH(MIN(AQ6:BJ6),AQ6:BJ6,0))</f>
        <v/>
      </c>
      <c r="CF6">
        <f>IF($CE6=1,999999999,W6)</f>
        <v/>
      </c>
      <c r="CG6">
        <f>IF($CE6=2,999999999,X6)</f>
        <v/>
      </c>
      <c r="CH6">
        <f>IF($CE6=3,999999999,Y6)</f>
        <v/>
      </c>
      <c r="CI6">
        <f>IF($CE6=4,999999999,Z6)</f>
        <v/>
      </c>
      <c r="CJ6">
        <f>IF($CE6=5,999999999,AA6)</f>
        <v/>
      </c>
      <c r="CK6">
        <f>IF($CE6=6,999999999,AB6)</f>
        <v/>
      </c>
      <c r="CL6">
        <f>IF($CE6=7,999999999,AC6)</f>
        <v/>
      </c>
      <c r="CM6">
        <f>IF($CE6=8,999999999,AD6)</f>
        <v/>
      </c>
      <c r="CN6">
        <f>IF($CE6=9,999999999,AE6)</f>
        <v/>
      </c>
      <c r="CO6">
        <f>IF($CE6=10,999999999,AF6)</f>
        <v/>
      </c>
      <c r="CP6">
        <f>IF($CE6=11,999999999,AG6)</f>
        <v/>
      </c>
      <c r="CQ6">
        <f>IF($CE6=12,999999999,AH6)</f>
        <v/>
      </c>
      <c r="CR6">
        <f>IF($CE6=13,999999999,AI6)</f>
        <v/>
      </c>
      <c r="CS6">
        <f>IF($CE6=14,999999999,AJ6)</f>
        <v/>
      </c>
      <c r="CT6">
        <f>IF($CE6=15,999999999,AK6)</f>
        <v/>
      </c>
      <c r="CU6">
        <f>IF($CE6=16,999999999,AL6)</f>
        <v/>
      </c>
      <c r="CV6">
        <f>IF($CE6=17,999999999,AM6)</f>
        <v/>
      </c>
      <c r="CW6">
        <f>IF($CE6=18,999999999,AN6)</f>
        <v/>
      </c>
      <c r="CX6">
        <f>IF($CE6=19,999999999,AO6)</f>
        <v/>
      </c>
      <c r="CY6">
        <f>IF($CE6=20,999999999,AP6)</f>
        <v/>
      </c>
      <c r="CZ6">
        <f>COUNTIF(W6:AP6,"&lt;999999999")</f>
        <v/>
      </c>
      <c r="DA6">
        <f>COUNTIF(BK6:CD6,"&lt;999999")</f>
        <v/>
      </c>
      <c r="DB6">
        <f>$CZ6-IF($CE6&gt;0,1,0)</f>
        <v/>
      </c>
      <c r="DC6">
        <f>IF(OR($B6=0,C6=""),0,DC5+1)</f>
        <v/>
      </c>
      <c r="DD6">
        <f>IF(OR($B6=0,D6=""),0,DD5+1)</f>
        <v/>
      </c>
      <c r="DE6">
        <f>IF(OR($B6=0,E6=""),0,DE5+1)</f>
        <v/>
      </c>
      <c r="DF6">
        <f>IF(OR($B6=0,F6=""),0,DF5+1)</f>
        <v/>
      </c>
      <c r="DG6">
        <f>IF(OR($B6=0,G6=""),0,DG5+1)</f>
        <v/>
      </c>
      <c r="DH6">
        <f>IF(OR($B6=0,H6=""),0,DH5+1)</f>
        <v/>
      </c>
      <c r="DI6">
        <f>IF(OR($B6=0,I6=""),0,DI5+1)</f>
        <v/>
      </c>
      <c r="DJ6">
        <f>IF(OR($B6=0,J6=""),0,DJ5+1)</f>
        <v/>
      </c>
      <c r="DK6">
        <f>IF(OR($B6=0,K6=""),0,DK5+1)</f>
        <v/>
      </c>
      <c r="DL6">
        <f>IF(OR($B6=0,L6=""),0,DL5+1)</f>
        <v/>
      </c>
      <c r="DM6">
        <f>IF(OR($B6=0,M6=""),0,DM5+1)</f>
        <v/>
      </c>
      <c r="DN6">
        <f>IF(OR($B6=0,N6=""),0,DN5+1)</f>
        <v/>
      </c>
      <c r="DO6">
        <f>IF(OR($B6=0,O6=""),0,DO5+1)</f>
        <v/>
      </c>
      <c r="DP6">
        <f>IF(OR($B6=0,P6=""),0,DP5+1)</f>
        <v/>
      </c>
      <c r="DQ6">
        <f>IF(OR($B6=0,Q6=""),0,DQ5+1)</f>
        <v/>
      </c>
      <c r="DR6">
        <f>IF(OR($B6=0,R6=""),0,DR5+1)</f>
        <v/>
      </c>
      <c r="DS6">
        <f>IF(OR($B6=0,S6=""),0,DS5+1)</f>
        <v/>
      </c>
      <c r="DT6">
        <f>IF(OR($B6=0,T6=""),0,DT5+1)</f>
        <v/>
      </c>
      <c r="DU6">
        <f>IF(OR($B6=0,U6=""),0,DU5+1)</f>
        <v/>
      </c>
      <c r="DV6">
        <f>IF(OR($B6=0,V6=""),0,DV5+1)</f>
        <v/>
      </c>
      <c r="DW6">
        <f>'ตารางเวร'!F$7</f>
        <v/>
      </c>
      <c r="DX6">
        <f>IF($B6=0,0,IF(WEEKDAY('ตารางเวร'!F$6,2)=IFERROR(MATCH('ตารางเวร'!$AM$11,'ตารางเวร'!$AO$10:$AO$17,0),0),1,0))</f>
        <v/>
      </c>
    </row>
    <row r="7">
      <c r="A7" t="n">
        <v>5</v>
      </c>
      <c r="B7">
        <f>IF(5&gt;DAY(EOMONTH(DATE('ตารางเวร'!$B$3-543,'ตารางเวร'!$B$2,1),0)),0,1)</f>
        <v/>
      </c>
      <c r="C7">
        <f>IF($B7=0,"",IFERROR(TRIM(INDEX('ตารางเวร'!$C$10:$AG$29,1,$A7)),""))</f>
        <v/>
      </c>
      <c r="D7">
        <f>IF($B7=0,"",IFERROR(TRIM(INDEX('ตารางเวร'!$C$10:$AG$29,2,$A7)),""))</f>
        <v/>
      </c>
      <c r="E7">
        <f>IF($B7=0,"",IFERROR(TRIM(INDEX('ตารางเวร'!$C$10:$AG$29,3,$A7)),""))</f>
        <v/>
      </c>
      <c r="F7">
        <f>IF($B7=0,"",IFERROR(TRIM(INDEX('ตารางเวร'!$C$10:$AG$29,4,$A7)),""))</f>
        <v/>
      </c>
      <c r="G7">
        <f>IF($B7=0,"",IFERROR(TRIM(INDEX('ตารางเวร'!$C$10:$AG$29,5,$A7)),""))</f>
        <v/>
      </c>
      <c r="H7">
        <f>IF($B7=0,"",IFERROR(TRIM(INDEX('ตารางเวร'!$C$10:$AG$29,6,$A7)),""))</f>
        <v/>
      </c>
      <c r="I7">
        <f>IF($B7=0,"",IFERROR(TRIM(INDEX('ตารางเวร'!$C$10:$AG$29,7,$A7)),""))</f>
        <v/>
      </c>
      <c r="J7">
        <f>IF($B7=0,"",IFERROR(TRIM(INDEX('ตารางเวร'!$C$10:$AG$29,8,$A7)),""))</f>
        <v/>
      </c>
      <c r="K7">
        <f>IF($B7=0,"",IFERROR(TRIM(INDEX('ตารางเวร'!$C$10:$AG$29,9,$A7)),""))</f>
        <v/>
      </c>
      <c r="L7">
        <f>IF($B7=0,"",IFERROR(TRIM(INDEX('ตารางเวร'!$C$10:$AG$29,10,$A7)),""))</f>
        <v/>
      </c>
      <c r="M7">
        <f>IF($B7=0,"",IFERROR(TRIM(INDEX('ตารางเวร'!$C$10:$AG$29,11,$A7)),""))</f>
        <v/>
      </c>
      <c r="N7">
        <f>IF($B7=0,"",IFERROR(TRIM(INDEX('ตารางเวร'!$C$10:$AG$29,12,$A7)),""))</f>
        <v/>
      </c>
      <c r="O7">
        <f>IF($B7=0,"",IFERROR(TRIM(INDEX('ตารางเวร'!$C$10:$AG$29,13,$A7)),""))</f>
        <v/>
      </c>
      <c r="P7">
        <f>IF($B7=0,"",IFERROR(TRIM(INDEX('ตารางเวร'!$C$10:$AG$29,14,$A7)),""))</f>
        <v/>
      </c>
      <c r="Q7">
        <f>IF($B7=0,"",IFERROR(TRIM(INDEX('ตารางเวร'!$C$10:$AG$29,15,$A7)),""))</f>
        <v/>
      </c>
      <c r="R7">
        <f>IF($B7=0,"",IFERROR(TRIM(INDEX('ตารางเวร'!$C$10:$AG$29,16,$A7)),""))</f>
        <v/>
      </c>
      <c r="S7">
        <f>IF($B7=0,"",IFERROR(TRIM(INDEX('ตารางเวร'!$C$10:$AG$29,17,$A7)),""))</f>
        <v/>
      </c>
      <c r="T7">
        <f>IF($B7=0,"",IFERROR(TRIM(INDEX('ตารางเวร'!$C$10:$AG$29,18,$A7)),""))</f>
        <v/>
      </c>
      <c r="U7">
        <f>IF($B7=0,"",IFERROR(TRIM(INDEX('ตารางเวร'!$C$10:$AG$29,19,$A7)),""))</f>
        <v/>
      </c>
      <c r="V7">
        <f>IF($B7=0,"",IFERROR(TRIM(INDEX('ตารางเวร'!$C$10:$AG$29,20,$A7)),""))</f>
        <v/>
      </c>
      <c r="W7">
        <f>IF(AND($B7=1,C7&lt;&gt;"",ISNUMBER(FIND("*",C7))),MOD((MOD('ตารางเวร'!$B$4,9973)*7919+$A7*40289)*(1*104729+7919),99991)*100+1,999999999)</f>
        <v/>
      </c>
      <c r="X7">
        <f>IF(AND($B7=1,D7&lt;&gt;"",ISNUMBER(FIND("*",D7))),MOD((MOD('ตารางเวร'!$B$4,9973)*7919+$A7*40289)*(2*104729+7919),99991)*100+2,999999999)</f>
        <v/>
      </c>
      <c r="Y7">
        <f>IF(AND($B7=1,E7&lt;&gt;"",ISNUMBER(FIND("*",E7))),MOD((MOD('ตารางเวร'!$B$4,9973)*7919+$A7*40289)*(3*104729+7919),99991)*100+3,999999999)</f>
        <v/>
      </c>
      <c r="Z7">
        <f>IF(AND($B7=1,F7&lt;&gt;"",ISNUMBER(FIND("*",F7))),MOD((MOD('ตารางเวร'!$B$4,9973)*7919+$A7*40289)*(4*104729+7919),99991)*100+4,999999999)</f>
        <v/>
      </c>
      <c r="AA7">
        <f>IF(AND($B7=1,G7&lt;&gt;"",ISNUMBER(FIND("*",G7))),MOD((MOD('ตารางเวร'!$B$4,9973)*7919+$A7*40289)*(5*104729+7919),99991)*100+5,999999999)</f>
        <v/>
      </c>
      <c r="AB7">
        <f>IF(AND($B7=1,H7&lt;&gt;"",ISNUMBER(FIND("*",H7))),MOD((MOD('ตารางเวร'!$B$4,9973)*7919+$A7*40289)*(6*104729+7919),99991)*100+6,999999999)</f>
        <v/>
      </c>
      <c r="AC7">
        <f>IF(AND($B7=1,I7&lt;&gt;"",ISNUMBER(FIND("*",I7))),MOD((MOD('ตารางเวร'!$B$4,9973)*7919+$A7*40289)*(7*104729+7919),99991)*100+7,999999999)</f>
        <v/>
      </c>
      <c r="AD7">
        <f>IF(AND($B7=1,J7&lt;&gt;"",ISNUMBER(FIND("*",J7))),MOD((MOD('ตารางเวร'!$B$4,9973)*7919+$A7*40289)*(8*104729+7919),99991)*100+8,999999999)</f>
        <v/>
      </c>
      <c r="AE7">
        <f>IF(AND($B7=1,K7&lt;&gt;"",ISNUMBER(FIND("*",K7))),MOD((MOD('ตารางเวร'!$B$4,9973)*7919+$A7*40289)*(9*104729+7919),99991)*100+9,999999999)</f>
        <v/>
      </c>
      <c r="AF7">
        <f>IF(AND($B7=1,L7&lt;&gt;"",ISNUMBER(FIND("*",L7))),MOD((MOD('ตารางเวร'!$B$4,9973)*7919+$A7*40289)*(10*104729+7919),99991)*100+10,999999999)</f>
        <v/>
      </c>
      <c r="AG7">
        <f>IF(AND($B7=1,M7&lt;&gt;"",ISNUMBER(FIND("*",M7))),MOD((MOD('ตารางเวร'!$B$4,9973)*7919+$A7*40289)*(11*104729+7919),99991)*100+11,999999999)</f>
        <v/>
      </c>
      <c r="AH7">
        <f>IF(AND($B7=1,N7&lt;&gt;"",ISNUMBER(FIND("*",N7))),MOD((MOD('ตารางเวร'!$B$4,9973)*7919+$A7*40289)*(12*104729+7919),99991)*100+12,999999999)</f>
        <v/>
      </c>
      <c r="AI7">
        <f>IF(AND($B7=1,O7&lt;&gt;"",ISNUMBER(FIND("*",O7))),MOD((MOD('ตารางเวร'!$B$4,9973)*7919+$A7*40289)*(13*104729+7919),99991)*100+13,999999999)</f>
        <v/>
      </c>
      <c r="AJ7">
        <f>IF(AND($B7=1,P7&lt;&gt;"",ISNUMBER(FIND("*",P7))),MOD((MOD('ตารางเวร'!$B$4,9973)*7919+$A7*40289)*(14*104729+7919),99991)*100+14,999999999)</f>
        <v/>
      </c>
      <c r="AK7">
        <f>IF(AND($B7=1,Q7&lt;&gt;"",ISNUMBER(FIND("*",Q7))),MOD((MOD('ตารางเวร'!$B$4,9973)*7919+$A7*40289)*(15*104729+7919),99991)*100+15,999999999)</f>
        <v/>
      </c>
      <c r="AL7">
        <f>IF(AND($B7=1,R7&lt;&gt;"",ISNUMBER(FIND("*",R7))),MOD((MOD('ตารางเวร'!$B$4,9973)*7919+$A7*40289)*(16*104729+7919),99991)*100+16,999999999)</f>
        <v/>
      </c>
      <c r="AM7">
        <f>IF(AND($B7=1,S7&lt;&gt;"",ISNUMBER(FIND("*",S7))),MOD((MOD('ตารางเวร'!$B$4,9973)*7919+$A7*40289)*(17*104729+7919),99991)*100+17,999999999)</f>
        <v/>
      </c>
      <c r="AN7">
        <f>IF(AND($B7=1,T7&lt;&gt;"",ISNUMBER(FIND("*",T7))),MOD((MOD('ตารางเวร'!$B$4,9973)*7919+$A7*40289)*(18*104729+7919),99991)*100+18,999999999)</f>
        <v/>
      </c>
      <c r="AO7">
        <f>IF(AND($B7=1,U7&lt;&gt;"",ISNUMBER(FIND("*",U7))),MOD((MOD('ตารางเวร'!$B$4,9973)*7919+$A7*40289)*(19*104729+7919),99991)*100+19,999999999)</f>
        <v/>
      </c>
      <c r="AP7">
        <f>IF(AND($B7=1,V7&lt;&gt;"",ISNUMBER(FIND("*",V7))),MOD((MOD('ตารางเวร'!$B$4,9973)*7919+$A7*40289)*(20*104729+7919),99991)*100+20,999999999)</f>
        <v/>
      </c>
      <c r="AQ7">
        <f>IF(TRIM('ตารางเวร'!$B$10)&lt;&gt;"",999999999,W7)</f>
        <v/>
      </c>
      <c r="AR7">
        <f>IF(TRIM('ตารางเวร'!$B$11)&lt;&gt;"",999999999,X7)</f>
        <v/>
      </c>
      <c r="AS7">
        <f>IF(TRIM('ตารางเวร'!$B$12)&lt;&gt;"",999999999,Y7)</f>
        <v/>
      </c>
      <c r="AT7">
        <f>IF(TRIM('ตารางเวร'!$B$13)&lt;&gt;"",999999999,Z7)</f>
        <v/>
      </c>
      <c r="AU7">
        <f>IF(TRIM('ตารางเวร'!$B$14)&lt;&gt;"",999999999,AA7)</f>
        <v/>
      </c>
      <c r="AV7">
        <f>IF(TRIM('ตารางเวร'!$B$15)&lt;&gt;"",999999999,AB7)</f>
        <v/>
      </c>
      <c r="AW7">
        <f>IF(TRIM('ตารางเวร'!$B$16)&lt;&gt;"",999999999,AC7)</f>
        <v/>
      </c>
      <c r="AX7">
        <f>IF(TRIM('ตารางเวร'!$B$17)&lt;&gt;"",999999999,AD7)</f>
        <v/>
      </c>
      <c r="AY7">
        <f>IF(TRIM('ตารางเวร'!$B$18)&lt;&gt;"",999999999,AE7)</f>
        <v/>
      </c>
      <c r="AZ7">
        <f>IF(TRIM('ตารางเวร'!$B$19)&lt;&gt;"",999999999,AF7)</f>
        <v/>
      </c>
      <c r="BA7">
        <f>IF(TRIM('ตารางเวร'!$B$20)&lt;&gt;"",999999999,AG7)</f>
        <v/>
      </c>
      <c r="BB7">
        <f>IF(TRIM('ตารางเวร'!$B$21)&lt;&gt;"",999999999,AH7)</f>
        <v/>
      </c>
      <c r="BC7">
        <f>IF(TRIM('ตารางเวร'!$B$22)&lt;&gt;"",999999999,AI7)</f>
        <v/>
      </c>
      <c r="BD7">
        <f>IF(TRIM('ตารางเวร'!$B$23)&lt;&gt;"",999999999,AJ7)</f>
        <v/>
      </c>
      <c r="BE7">
        <f>IF(TRIM('ตารางเวร'!$B$24)&lt;&gt;"",999999999,AK7)</f>
        <v/>
      </c>
      <c r="BF7">
        <f>IF(TRIM('ตารางเวร'!$B$25)&lt;&gt;"",999999999,AL7)</f>
        <v/>
      </c>
      <c r="BG7">
        <f>IF(TRIM('ตารางเวร'!$B$26)&lt;&gt;"",999999999,AM7)</f>
        <v/>
      </c>
      <c r="BH7">
        <f>IF(TRIM('ตารางเวร'!$B$27)&lt;&gt;"",999999999,AN7)</f>
        <v/>
      </c>
      <c r="BI7">
        <f>IF(TRIM('ตารางเวร'!$B$28)&lt;&gt;"",999999999,AO7)</f>
        <v/>
      </c>
      <c r="BJ7">
        <f>IF(TRIM('ตารางเวร'!$B$29)&lt;&gt;"",999999999,AP7)</f>
        <v/>
      </c>
      <c r="BK7">
        <f>IF(AND($B7=1,C7&lt;&gt;"",NOT(ISNUMBER(FIND("*",C7)))),1,999999)</f>
        <v/>
      </c>
      <c r="BL7">
        <f>IF(AND($B7=1,D7&lt;&gt;"",NOT(ISNUMBER(FIND("*",D7)))),2,999999)</f>
        <v/>
      </c>
      <c r="BM7">
        <f>IF(AND($B7=1,E7&lt;&gt;"",NOT(ISNUMBER(FIND("*",E7)))),3,999999)</f>
        <v/>
      </c>
      <c r="BN7">
        <f>IF(AND($B7=1,F7&lt;&gt;"",NOT(ISNUMBER(FIND("*",F7)))),4,999999)</f>
        <v/>
      </c>
      <c r="BO7">
        <f>IF(AND($B7=1,G7&lt;&gt;"",NOT(ISNUMBER(FIND("*",G7)))),5,999999)</f>
        <v/>
      </c>
      <c r="BP7">
        <f>IF(AND($B7=1,H7&lt;&gt;"",NOT(ISNUMBER(FIND("*",H7)))),6,999999)</f>
        <v/>
      </c>
      <c r="BQ7">
        <f>IF(AND($B7=1,I7&lt;&gt;"",NOT(ISNUMBER(FIND("*",I7)))),7,999999)</f>
        <v/>
      </c>
      <c r="BR7">
        <f>IF(AND($B7=1,J7&lt;&gt;"",NOT(ISNUMBER(FIND("*",J7)))),8,999999)</f>
        <v/>
      </c>
      <c r="BS7">
        <f>IF(AND($B7=1,K7&lt;&gt;"",NOT(ISNUMBER(FIND("*",K7)))),9,999999)</f>
        <v/>
      </c>
      <c r="BT7">
        <f>IF(AND($B7=1,L7&lt;&gt;"",NOT(ISNUMBER(FIND("*",L7)))),10,999999)</f>
        <v/>
      </c>
      <c r="BU7">
        <f>IF(AND($B7=1,M7&lt;&gt;"",NOT(ISNUMBER(FIND("*",M7)))),11,999999)</f>
        <v/>
      </c>
      <c r="BV7">
        <f>IF(AND($B7=1,N7&lt;&gt;"",NOT(ISNUMBER(FIND("*",N7)))),12,999999)</f>
        <v/>
      </c>
      <c r="BW7">
        <f>IF(AND($B7=1,O7&lt;&gt;"",NOT(ISNUMBER(FIND("*",O7)))),13,999999)</f>
        <v/>
      </c>
      <c r="BX7">
        <f>IF(AND($B7=1,P7&lt;&gt;"",NOT(ISNUMBER(FIND("*",P7)))),14,999999)</f>
        <v/>
      </c>
      <c r="BY7">
        <f>IF(AND($B7=1,Q7&lt;&gt;"",NOT(ISNUMBER(FIND("*",Q7)))),15,999999)</f>
        <v/>
      </c>
      <c r="BZ7">
        <f>IF(AND($B7=1,R7&lt;&gt;"",NOT(ISNUMBER(FIND("*",R7)))),16,999999)</f>
        <v/>
      </c>
      <c r="CA7">
        <f>IF(AND($B7=1,S7&lt;&gt;"",NOT(ISNUMBER(FIND("*",S7)))),17,999999)</f>
        <v/>
      </c>
      <c r="CB7">
        <f>IF(AND($B7=1,T7&lt;&gt;"",NOT(ISNUMBER(FIND("*",T7)))),18,999999)</f>
        <v/>
      </c>
      <c r="CC7">
        <f>IF(AND($B7=1,U7&lt;&gt;"",NOT(ISNUMBER(FIND("*",U7)))),19,999999)</f>
        <v/>
      </c>
      <c r="CD7">
        <f>IF(AND($B7=1,V7&lt;&gt;"",NOT(ISNUMBER(FIND("*",V7)))),20,999999)</f>
        <v/>
      </c>
      <c r="CE7">
        <f>IF(MIN(AQ7:BJ7)&gt;=999999999,0,MATCH(MIN(AQ7:BJ7),AQ7:BJ7,0))</f>
        <v/>
      </c>
      <c r="CF7">
        <f>IF($CE7=1,999999999,W7)</f>
        <v/>
      </c>
      <c r="CG7">
        <f>IF($CE7=2,999999999,X7)</f>
        <v/>
      </c>
      <c r="CH7">
        <f>IF($CE7=3,999999999,Y7)</f>
        <v/>
      </c>
      <c r="CI7">
        <f>IF($CE7=4,999999999,Z7)</f>
        <v/>
      </c>
      <c r="CJ7">
        <f>IF($CE7=5,999999999,AA7)</f>
        <v/>
      </c>
      <c r="CK7">
        <f>IF($CE7=6,999999999,AB7)</f>
        <v/>
      </c>
      <c r="CL7">
        <f>IF($CE7=7,999999999,AC7)</f>
        <v/>
      </c>
      <c r="CM7">
        <f>IF($CE7=8,999999999,AD7)</f>
        <v/>
      </c>
      <c r="CN7">
        <f>IF($CE7=9,999999999,AE7)</f>
        <v/>
      </c>
      <c r="CO7">
        <f>IF($CE7=10,999999999,AF7)</f>
        <v/>
      </c>
      <c r="CP7">
        <f>IF($CE7=11,999999999,AG7)</f>
        <v/>
      </c>
      <c r="CQ7">
        <f>IF($CE7=12,999999999,AH7)</f>
        <v/>
      </c>
      <c r="CR7">
        <f>IF($CE7=13,999999999,AI7)</f>
        <v/>
      </c>
      <c r="CS7">
        <f>IF($CE7=14,999999999,AJ7)</f>
        <v/>
      </c>
      <c r="CT7">
        <f>IF($CE7=15,999999999,AK7)</f>
        <v/>
      </c>
      <c r="CU7">
        <f>IF($CE7=16,999999999,AL7)</f>
        <v/>
      </c>
      <c r="CV7">
        <f>IF($CE7=17,999999999,AM7)</f>
        <v/>
      </c>
      <c r="CW7">
        <f>IF($CE7=18,999999999,AN7)</f>
        <v/>
      </c>
      <c r="CX7">
        <f>IF($CE7=19,999999999,AO7)</f>
        <v/>
      </c>
      <c r="CY7">
        <f>IF($CE7=20,999999999,AP7)</f>
        <v/>
      </c>
      <c r="CZ7">
        <f>COUNTIF(W7:AP7,"&lt;999999999")</f>
        <v/>
      </c>
      <c r="DA7">
        <f>COUNTIF(BK7:CD7,"&lt;999999")</f>
        <v/>
      </c>
      <c r="DB7">
        <f>$CZ7-IF($CE7&gt;0,1,0)</f>
        <v/>
      </c>
      <c r="DC7">
        <f>IF(OR($B7=0,C7=""),0,DC6+1)</f>
        <v/>
      </c>
      <c r="DD7">
        <f>IF(OR($B7=0,D7=""),0,DD6+1)</f>
        <v/>
      </c>
      <c r="DE7">
        <f>IF(OR($B7=0,E7=""),0,DE6+1)</f>
        <v/>
      </c>
      <c r="DF7">
        <f>IF(OR($B7=0,F7=""),0,DF6+1)</f>
        <v/>
      </c>
      <c r="DG7">
        <f>IF(OR($B7=0,G7=""),0,DG6+1)</f>
        <v/>
      </c>
      <c r="DH7">
        <f>IF(OR($B7=0,H7=""),0,DH6+1)</f>
        <v/>
      </c>
      <c r="DI7">
        <f>IF(OR($B7=0,I7=""),0,DI6+1)</f>
        <v/>
      </c>
      <c r="DJ7">
        <f>IF(OR($B7=0,J7=""),0,DJ6+1)</f>
        <v/>
      </c>
      <c r="DK7">
        <f>IF(OR($B7=0,K7=""),0,DK6+1)</f>
        <v/>
      </c>
      <c r="DL7">
        <f>IF(OR($B7=0,L7=""),0,DL6+1)</f>
        <v/>
      </c>
      <c r="DM7">
        <f>IF(OR($B7=0,M7=""),0,DM6+1)</f>
        <v/>
      </c>
      <c r="DN7">
        <f>IF(OR($B7=0,N7=""),0,DN6+1)</f>
        <v/>
      </c>
      <c r="DO7">
        <f>IF(OR($B7=0,O7=""),0,DO6+1)</f>
        <v/>
      </c>
      <c r="DP7">
        <f>IF(OR($B7=0,P7=""),0,DP6+1)</f>
        <v/>
      </c>
      <c r="DQ7">
        <f>IF(OR($B7=0,Q7=""),0,DQ6+1)</f>
        <v/>
      </c>
      <c r="DR7">
        <f>IF(OR($B7=0,R7=""),0,DR6+1)</f>
        <v/>
      </c>
      <c r="DS7">
        <f>IF(OR($B7=0,S7=""),0,DS6+1)</f>
        <v/>
      </c>
      <c r="DT7">
        <f>IF(OR($B7=0,T7=""),0,DT6+1)</f>
        <v/>
      </c>
      <c r="DU7">
        <f>IF(OR($B7=0,U7=""),0,DU6+1)</f>
        <v/>
      </c>
      <c r="DV7">
        <f>IF(OR($B7=0,V7=""),0,DV6+1)</f>
        <v/>
      </c>
      <c r="DW7">
        <f>'ตารางเวร'!G$7</f>
        <v/>
      </c>
      <c r="DX7">
        <f>IF($B7=0,0,IF(WEEKDAY('ตารางเวร'!G$6,2)=IFERROR(MATCH('ตารางเวร'!$AM$11,'ตารางเวร'!$AO$10:$AO$17,0),0),1,0))</f>
        <v/>
      </c>
    </row>
    <row r="8">
      <c r="A8" t="n">
        <v>6</v>
      </c>
      <c r="B8">
        <f>IF(6&gt;DAY(EOMONTH(DATE('ตารางเวร'!$B$3-543,'ตารางเวร'!$B$2,1),0)),0,1)</f>
        <v/>
      </c>
      <c r="C8">
        <f>IF($B8=0,"",IFERROR(TRIM(INDEX('ตารางเวร'!$C$10:$AG$29,1,$A8)),""))</f>
        <v/>
      </c>
      <c r="D8">
        <f>IF($B8=0,"",IFERROR(TRIM(INDEX('ตารางเวร'!$C$10:$AG$29,2,$A8)),""))</f>
        <v/>
      </c>
      <c r="E8">
        <f>IF($B8=0,"",IFERROR(TRIM(INDEX('ตารางเวร'!$C$10:$AG$29,3,$A8)),""))</f>
        <v/>
      </c>
      <c r="F8">
        <f>IF($B8=0,"",IFERROR(TRIM(INDEX('ตารางเวร'!$C$10:$AG$29,4,$A8)),""))</f>
        <v/>
      </c>
      <c r="G8">
        <f>IF($B8=0,"",IFERROR(TRIM(INDEX('ตารางเวร'!$C$10:$AG$29,5,$A8)),""))</f>
        <v/>
      </c>
      <c r="H8">
        <f>IF($B8=0,"",IFERROR(TRIM(INDEX('ตารางเวร'!$C$10:$AG$29,6,$A8)),""))</f>
        <v/>
      </c>
      <c r="I8">
        <f>IF($B8=0,"",IFERROR(TRIM(INDEX('ตารางเวร'!$C$10:$AG$29,7,$A8)),""))</f>
        <v/>
      </c>
      <c r="J8">
        <f>IF($B8=0,"",IFERROR(TRIM(INDEX('ตารางเวร'!$C$10:$AG$29,8,$A8)),""))</f>
        <v/>
      </c>
      <c r="K8">
        <f>IF($B8=0,"",IFERROR(TRIM(INDEX('ตารางเวร'!$C$10:$AG$29,9,$A8)),""))</f>
        <v/>
      </c>
      <c r="L8">
        <f>IF($B8=0,"",IFERROR(TRIM(INDEX('ตารางเวร'!$C$10:$AG$29,10,$A8)),""))</f>
        <v/>
      </c>
      <c r="M8">
        <f>IF($B8=0,"",IFERROR(TRIM(INDEX('ตารางเวร'!$C$10:$AG$29,11,$A8)),""))</f>
        <v/>
      </c>
      <c r="N8">
        <f>IF($B8=0,"",IFERROR(TRIM(INDEX('ตารางเวร'!$C$10:$AG$29,12,$A8)),""))</f>
        <v/>
      </c>
      <c r="O8">
        <f>IF($B8=0,"",IFERROR(TRIM(INDEX('ตารางเวร'!$C$10:$AG$29,13,$A8)),""))</f>
        <v/>
      </c>
      <c r="P8">
        <f>IF($B8=0,"",IFERROR(TRIM(INDEX('ตารางเวร'!$C$10:$AG$29,14,$A8)),""))</f>
        <v/>
      </c>
      <c r="Q8">
        <f>IF($B8=0,"",IFERROR(TRIM(INDEX('ตารางเวร'!$C$10:$AG$29,15,$A8)),""))</f>
        <v/>
      </c>
      <c r="R8">
        <f>IF($B8=0,"",IFERROR(TRIM(INDEX('ตารางเวร'!$C$10:$AG$29,16,$A8)),""))</f>
        <v/>
      </c>
      <c r="S8">
        <f>IF($B8=0,"",IFERROR(TRIM(INDEX('ตารางเวร'!$C$10:$AG$29,17,$A8)),""))</f>
        <v/>
      </c>
      <c r="T8">
        <f>IF($B8=0,"",IFERROR(TRIM(INDEX('ตารางเวร'!$C$10:$AG$29,18,$A8)),""))</f>
        <v/>
      </c>
      <c r="U8">
        <f>IF($B8=0,"",IFERROR(TRIM(INDEX('ตารางเวร'!$C$10:$AG$29,19,$A8)),""))</f>
        <v/>
      </c>
      <c r="V8">
        <f>IF($B8=0,"",IFERROR(TRIM(INDEX('ตารางเวร'!$C$10:$AG$29,20,$A8)),""))</f>
        <v/>
      </c>
      <c r="W8">
        <f>IF(AND($B8=1,C8&lt;&gt;"",ISNUMBER(FIND("*",C8))),MOD((MOD('ตารางเวร'!$B$4,9973)*7919+$A8*40289)*(1*104729+7919),99991)*100+1,999999999)</f>
        <v/>
      </c>
      <c r="X8">
        <f>IF(AND($B8=1,D8&lt;&gt;"",ISNUMBER(FIND("*",D8))),MOD((MOD('ตารางเวร'!$B$4,9973)*7919+$A8*40289)*(2*104729+7919),99991)*100+2,999999999)</f>
        <v/>
      </c>
      <c r="Y8">
        <f>IF(AND($B8=1,E8&lt;&gt;"",ISNUMBER(FIND("*",E8))),MOD((MOD('ตารางเวร'!$B$4,9973)*7919+$A8*40289)*(3*104729+7919),99991)*100+3,999999999)</f>
        <v/>
      </c>
      <c r="Z8">
        <f>IF(AND($B8=1,F8&lt;&gt;"",ISNUMBER(FIND("*",F8))),MOD((MOD('ตารางเวร'!$B$4,9973)*7919+$A8*40289)*(4*104729+7919),99991)*100+4,999999999)</f>
        <v/>
      </c>
      <c r="AA8">
        <f>IF(AND($B8=1,G8&lt;&gt;"",ISNUMBER(FIND("*",G8))),MOD((MOD('ตารางเวร'!$B$4,9973)*7919+$A8*40289)*(5*104729+7919),99991)*100+5,999999999)</f>
        <v/>
      </c>
      <c r="AB8">
        <f>IF(AND($B8=1,H8&lt;&gt;"",ISNUMBER(FIND("*",H8))),MOD((MOD('ตารางเวร'!$B$4,9973)*7919+$A8*40289)*(6*104729+7919),99991)*100+6,999999999)</f>
        <v/>
      </c>
      <c r="AC8">
        <f>IF(AND($B8=1,I8&lt;&gt;"",ISNUMBER(FIND("*",I8))),MOD((MOD('ตารางเวร'!$B$4,9973)*7919+$A8*40289)*(7*104729+7919),99991)*100+7,999999999)</f>
        <v/>
      </c>
      <c r="AD8">
        <f>IF(AND($B8=1,J8&lt;&gt;"",ISNUMBER(FIND("*",J8))),MOD((MOD('ตารางเวร'!$B$4,9973)*7919+$A8*40289)*(8*104729+7919),99991)*100+8,999999999)</f>
        <v/>
      </c>
      <c r="AE8">
        <f>IF(AND($B8=1,K8&lt;&gt;"",ISNUMBER(FIND("*",K8))),MOD((MOD('ตารางเวร'!$B$4,9973)*7919+$A8*40289)*(9*104729+7919),99991)*100+9,999999999)</f>
        <v/>
      </c>
      <c r="AF8">
        <f>IF(AND($B8=1,L8&lt;&gt;"",ISNUMBER(FIND("*",L8))),MOD((MOD('ตารางเวร'!$B$4,9973)*7919+$A8*40289)*(10*104729+7919),99991)*100+10,999999999)</f>
        <v/>
      </c>
      <c r="AG8">
        <f>IF(AND($B8=1,M8&lt;&gt;"",ISNUMBER(FIND("*",M8))),MOD((MOD('ตารางเวร'!$B$4,9973)*7919+$A8*40289)*(11*104729+7919),99991)*100+11,999999999)</f>
        <v/>
      </c>
      <c r="AH8">
        <f>IF(AND($B8=1,N8&lt;&gt;"",ISNUMBER(FIND("*",N8))),MOD((MOD('ตารางเวร'!$B$4,9973)*7919+$A8*40289)*(12*104729+7919),99991)*100+12,999999999)</f>
        <v/>
      </c>
      <c r="AI8">
        <f>IF(AND($B8=1,O8&lt;&gt;"",ISNUMBER(FIND("*",O8))),MOD((MOD('ตารางเวร'!$B$4,9973)*7919+$A8*40289)*(13*104729+7919),99991)*100+13,999999999)</f>
        <v/>
      </c>
      <c r="AJ8">
        <f>IF(AND($B8=1,P8&lt;&gt;"",ISNUMBER(FIND("*",P8))),MOD((MOD('ตารางเวร'!$B$4,9973)*7919+$A8*40289)*(14*104729+7919),99991)*100+14,999999999)</f>
        <v/>
      </c>
      <c r="AK8">
        <f>IF(AND($B8=1,Q8&lt;&gt;"",ISNUMBER(FIND("*",Q8))),MOD((MOD('ตารางเวร'!$B$4,9973)*7919+$A8*40289)*(15*104729+7919),99991)*100+15,999999999)</f>
        <v/>
      </c>
      <c r="AL8">
        <f>IF(AND($B8=1,R8&lt;&gt;"",ISNUMBER(FIND("*",R8))),MOD((MOD('ตารางเวร'!$B$4,9973)*7919+$A8*40289)*(16*104729+7919),99991)*100+16,999999999)</f>
        <v/>
      </c>
      <c r="AM8">
        <f>IF(AND($B8=1,S8&lt;&gt;"",ISNUMBER(FIND("*",S8))),MOD((MOD('ตารางเวร'!$B$4,9973)*7919+$A8*40289)*(17*104729+7919),99991)*100+17,999999999)</f>
        <v/>
      </c>
      <c r="AN8">
        <f>IF(AND($B8=1,T8&lt;&gt;"",ISNUMBER(FIND("*",T8))),MOD((MOD('ตารางเวร'!$B$4,9973)*7919+$A8*40289)*(18*104729+7919),99991)*100+18,999999999)</f>
        <v/>
      </c>
      <c r="AO8">
        <f>IF(AND($B8=1,U8&lt;&gt;"",ISNUMBER(FIND("*",U8))),MOD((MOD('ตารางเวร'!$B$4,9973)*7919+$A8*40289)*(19*104729+7919),99991)*100+19,999999999)</f>
        <v/>
      </c>
      <c r="AP8">
        <f>IF(AND($B8=1,V8&lt;&gt;"",ISNUMBER(FIND("*",V8))),MOD((MOD('ตารางเวร'!$B$4,9973)*7919+$A8*40289)*(20*104729+7919),99991)*100+20,999999999)</f>
        <v/>
      </c>
      <c r="AQ8">
        <f>IF(TRIM('ตารางเวร'!$B$10)&lt;&gt;"",999999999,W8)</f>
        <v/>
      </c>
      <c r="AR8">
        <f>IF(TRIM('ตารางเวร'!$B$11)&lt;&gt;"",999999999,X8)</f>
        <v/>
      </c>
      <c r="AS8">
        <f>IF(TRIM('ตารางเวร'!$B$12)&lt;&gt;"",999999999,Y8)</f>
        <v/>
      </c>
      <c r="AT8">
        <f>IF(TRIM('ตารางเวร'!$B$13)&lt;&gt;"",999999999,Z8)</f>
        <v/>
      </c>
      <c r="AU8">
        <f>IF(TRIM('ตารางเวร'!$B$14)&lt;&gt;"",999999999,AA8)</f>
        <v/>
      </c>
      <c r="AV8">
        <f>IF(TRIM('ตารางเวร'!$B$15)&lt;&gt;"",999999999,AB8)</f>
        <v/>
      </c>
      <c r="AW8">
        <f>IF(TRIM('ตารางเวร'!$B$16)&lt;&gt;"",999999999,AC8)</f>
        <v/>
      </c>
      <c r="AX8">
        <f>IF(TRIM('ตารางเวร'!$B$17)&lt;&gt;"",999999999,AD8)</f>
        <v/>
      </c>
      <c r="AY8">
        <f>IF(TRIM('ตารางเวร'!$B$18)&lt;&gt;"",999999999,AE8)</f>
        <v/>
      </c>
      <c r="AZ8">
        <f>IF(TRIM('ตารางเวร'!$B$19)&lt;&gt;"",999999999,AF8)</f>
        <v/>
      </c>
      <c r="BA8">
        <f>IF(TRIM('ตารางเวร'!$B$20)&lt;&gt;"",999999999,AG8)</f>
        <v/>
      </c>
      <c r="BB8">
        <f>IF(TRIM('ตารางเวร'!$B$21)&lt;&gt;"",999999999,AH8)</f>
        <v/>
      </c>
      <c r="BC8">
        <f>IF(TRIM('ตารางเวร'!$B$22)&lt;&gt;"",999999999,AI8)</f>
        <v/>
      </c>
      <c r="BD8">
        <f>IF(TRIM('ตารางเวร'!$B$23)&lt;&gt;"",999999999,AJ8)</f>
        <v/>
      </c>
      <c r="BE8">
        <f>IF(TRIM('ตารางเวร'!$B$24)&lt;&gt;"",999999999,AK8)</f>
        <v/>
      </c>
      <c r="BF8">
        <f>IF(TRIM('ตารางเวร'!$B$25)&lt;&gt;"",999999999,AL8)</f>
        <v/>
      </c>
      <c r="BG8">
        <f>IF(TRIM('ตารางเวร'!$B$26)&lt;&gt;"",999999999,AM8)</f>
        <v/>
      </c>
      <c r="BH8">
        <f>IF(TRIM('ตารางเวร'!$B$27)&lt;&gt;"",999999999,AN8)</f>
        <v/>
      </c>
      <c r="BI8">
        <f>IF(TRIM('ตารางเวร'!$B$28)&lt;&gt;"",999999999,AO8)</f>
        <v/>
      </c>
      <c r="BJ8">
        <f>IF(TRIM('ตารางเวร'!$B$29)&lt;&gt;"",999999999,AP8)</f>
        <v/>
      </c>
      <c r="BK8">
        <f>IF(AND($B8=1,C8&lt;&gt;"",NOT(ISNUMBER(FIND("*",C8)))),1,999999)</f>
        <v/>
      </c>
      <c r="BL8">
        <f>IF(AND($B8=1,D8&lt;&gt;"",NOT(ISNUMBER(FIND("*",D8)))),2,999999)</f>
        <v/>
      </c>
      <c r="BM8">
        <f>IF(AND($B8=1,E8&lt;&gt;"",NOT(ISNUMBER(FIND("*",E8)))),3,999999)</f>
        <v/>
      </c>
      <c r="BN8">
        <f>IF(AND($B8=1,F8&lt;&gt;"",NOT(ISNUMBER(FIND("*",F8)))),4,999999)</f>
        <v/>
      </c>
      <c r="BO8">
        <f>IF(AND($B8=1,G8&lt;&gt;"",NOT(ISNUMBER(FIND("*",G8)))),5,999999)</f>
        <v/>
      </c>
      <c r="BP8">
        <f>IF(AND($B8=1,H8&lt;&gt;"",NOT(ISNUMBER(FIND("*",H8)))),6,999999)</f>
        <v/>
      </c>
      <c r="BQ8">
        <f>IF(AND($B8=1,I8&lt;&gt;"",NOT(ISNUMBER(FIND("*",I8)))),7,999999)</f>
        <v/>
      </c>
      <c r="BR8">
        <f>IF(AND($B8=1,J8&lt;&gt;"",NOT(ISNUMBER(FIND("*",J8)))),8,999999)</f>
        <v/>
      </c>
      <c r="BS8">
        <f>IF(AND($B8=1,K8&lt;&gt;"",NOT(ISNUMBER(FIND("*",K8)))),9,999999)</f>
        <v/>
      </c>
      <c r="BT8">
        <f>IF(AND($B8=1,L8&lt;&gt;"",NOT(ISNUMBER(FIND("*",L8)))),10,999999)</f>
        <v/>
      </c>
      <c r="BU8">
        <f>IF(AND($B8=1,M8&lt;&gt;"",NOT(ISNUMBER(FIND("*",M8)))),11,999999)</f>
        <v/>
      </c>
      <c r="BV8">
        <f>IF(AND($B8=1,N8&lt;&gt;"",NOT(ISNUMBER(FIND("*",N8)))),12,999999)</f>
        <v/>
      </c>
      <c r="BW8">
        <f>IF(AND($B8=1,O8&lt;&gt;"",NOT(ISNUMBER(FIND("*",O8)))),13,999999)</f>
        <v/>
      </c>
      <c r="BX8">
        <f>IF(AND($B8=1,P8&lt;&gt;"",NOT(ISNUMBER(FIND("*",P8)))),14,999999)</f>
        <v/>
      </c>
      <c r="BY8">
        <f>IF(AND($B8=1,Q8&lt;&gt;"",NOT(ISNUMBER(FIND("*",Q8)))),15,999999)</f>
        <v/>
      </c>
      <c r="BZ8">
        <f>IF(AND($B8=1,R8&lt;&gt;"",NOT(ISNUMBER(FIND("*",R8)))),16,999999)</f>
        <v/>
      </c>
      <c r="CA8">
        <f>IF(AND($B8=1,S8&lt;&gt;"",NOT(ISNUMBER(FIND("*",S8)))),17,999999)</f>
        <v/>
      </c>
      <c r="CB8">
        <f>IF(AND($B8=1,T8&lt;&gt;"",NOT(ISNUMBER(FIND("*",T8)))),18,999999)</f>
        <v/>
      </c>
      <c r="CC8">
        <f>IF(AND($B8=1,U8&lt;&gt;"",NOT(ISNUMBER(FIND("*",U8)))),19,999999)</f>
        <v/>
      </c>
      <c r="CD8">
        <f>IF(AND($B8=1,V8&lt;&gt;"",NOT(ISNUMBER(FIND("*",V8)))),20,999999)</f>
        <v/>
      </c>
      <c r="CE8">
        <f>IF(MIN(AQ8:BJ8)&gt;=999999999,0,MATCH(MIN(AQ8:BJ8),AQ8:BJ8,0))</f>
        <v/>
      </c>
      <c r="CF8">
        <f>IF($CE8=1,999999999,W8)</f>
        <v/>
      </c>
      <c r="CG8">
        <f>IF($CE8=2,999999999,X8)</f>
        <v/>
      </c>
      <c r="CH8">
        <f>IF($CE8=3,999999999,Y8)</f>
        <v/>
      </c>
      <c r="CI8">
        <f>IF($CE8=4,999999999,Z8)</f>
        <v/>
      </c>
      <c r="CJ8">
        <f>IF($CE8=5,999999999,AA8)</f>
        <v/>
      </c>
      <c r="CK8">
        <f>IF($CE8=6,999999999,AB8)</f>
        <v/>
      </c>
      <c r="CL8">
        <f>IF($CE8=7,999999999,AC8)</f>
        <v/>
      </c>
      <c r="CM8">
        <f>IF($CE8=8,999999999,AD8)</f>
        <v/>
      </c>
      <c r="CN8">
        <f>IF($CE8=9,999999999,AE8)</f>
        <v/>
      </c>
      <c r="CO8">
        <f>IF($CE8=10,999999999,AF8)</f>
        <v/>
      </c>
      <c r="CP8">
        <f>IF($CE8=11,999999999,AG8)</f>
        <v/>
      </c>
      <c r="CQ8">
        <f>IF($CE8=12,999999999,AH8)</f>
        <v/>
      </c>
      <c r="CR8">
        <f>IF($CE8=13,999999999,AI8)</f>
        <v/>
      </c>
      <c r="CS8">
        <f>IF($CE8=14,999999999,AJ8)</f>
        <v/>
      </c>
      <c r="CT8">
        <f>IF($CE8=15,999999999,AK8)</f>
        <v/>
      </c>
      <c r="CU8">
        <f>IF($CE8=16,999999999,AL8)</f>
        <v/>
      </c>
      <c r="CV8">
        <f>IF($CE8=17,999999999,AM8)</f>
        <v/>
      </c>
      <c r="CW8">
        <f>IF($CE8=18,999999999,AN8)</f>
        <v/>
      </c>
      <c r="CX8">
        <f>IF($CE8=19,999999999,AO8)</f>
        <v/>
      </c>
      <c r="CY8">
        <f>IF($CE8=20,999999999,AP8)</f>
        <v/>
      </c>
      <c r="CZ8">
        <f>COUNTIF(W8:AP8,"&lt;999999999")</f>
        <v/>
      </c>
      <c r="DA8">
        <f>COUNTIF(BK8:CD8,"&lt;999999")</f>
        <v/>
      </c>
      <c r="DB8">
        <f>$CZ8-IF($CE8&gt;0,1,0)</f>
        <v/>
      </c>
      <c r="DC8">
        <f>IF(OR($B8=0,C8=""),0,DC7+1)</f>
        <v/>
      </c>
      <c r="DD8">
        <f>IF(OR($B8=0,D8=""),0,DD7+1)</f>
        <v/>
      </c>
      <c r="DE8">
        <f>IF(OR($B8=0,E8=""),0,DE7+1)</f>
        <v/>
      </c>
      <c r="DF8">
        <f>IF(OR($B8=0,F8=""),0,DF7+1)</f>
        <v/>
      </c>
      <c r="DG8">
        <f>IF(OR($B8=0,G8=""),0,DG7+1)</f>
        <v/>
      </c>
      <c r="DH8">
        <f>IF(OR($B8=0,H8=""),0,DH7+1)</f>
        <v/>
      </c>
      <c r="DI8">
        <f>IF(OR($B8=0,I8=""),0,DI7+1)</f>
        <v/>
      </c>
      <c r="DJ8">
        <f>IF(OR($B8=0,J8=""),0,DJ7+1)</f>
        <v/>
      </c>
      <c r="DK8">
        <f>IF(OR($B8=0,K8=""),0,DK7+1)</f>
        <v/>
      </c>
      <c r="DL8">
        <f>IF(OR($B8=0,L8=""),0,DL7+1)</f>
        <v/>
      </c>
      <c r="DM8">
        <f>IF(OR($B8=0,M8=""),0,DM7+1)</f>
        <v/>
      </c>
      <c r="DN8">
        <f>IF(OR($B8=0,N8=""),0,DN7+1)</f>
        <v/>
      </c>
      <c r="DO8">
        <f>IF(OR($B8=0,O8=""),0,DO7+1)</f>
        <v/>
      </c>
      <c r="DP8">
        <f>IF(OR($B8=0,P8=""),0,DP7+1)</f>
        <v/>
      </c>
      <c r="DQ8">
        <f>IF(OR($B8=0,Q8=""),0,DQ7+1)</f>
        <v/>
      </c>
      <c r="DR8">
        <f>IF(OR($B8=0,R8=""),0,DR7+1)</f>
        <v/>
      </c>
      <c r="DS8">
        <f>IF(OR($B8=0,S8=""),0,DS7+1)</f>
        <v/>
      </c>
      <c r="DT8">
        <f>IF(OR($B8=0,T8=""),0,DT7+1)</f>
        <v/>
      </c>
      <c r="DU8">
        <f>IF(OR($B8=0,U8=""),0,DU7+1)</f>
        <v/>
      </c>
      <c r="DV8">
        <f>IF(OR($B8=0,V8=""),0,DV7+1)</f>
        <v/>
      </c>
      <c r="DW8">
        <f>'ตารางเวร'!H$7</f>
        <v/>
      </c>
      <c r="DX8">
        <f>IF($B8=0,0,IF(WEEKDAY('ตารางเวร'!H$6,2)=IFERROR(MATCH('ตารางเวร'!$AM$11,'ตารางเวร'!$AO$10:$AO$17,0),0),1,0))</f>
        <v/>
      </c>
    </row>
    <row r="9">
      <c r="A9" t="n">
        <v>7</v>
      </c>
      <c r="B9">
        <f>IF(7&gt;DAY(EOMONTH(DATE('ตารางเวร'!$B$3-543,'ตารางเวร'!$B$2,1),0)),0,1)</f>
        <v/>
      </c>
      <c r="C9">
        <f>IF($B9=0,"",IFERROR(TRIM(INDEX('ตารางเวร'!$C$10:$AG$29,1,$A9)),""))</f>
        <v/>
      </c>
      <c r="D9">
        <f>IF($B9=0,"",IFERROR(TRIM(INDEX('ตารางเวร'!$C$10:$AG$29,2,$A9)),""))</f>
        <v/>
      </c>
      <c r="E9">
        <f>IF($B9=0,"",IFERROR(TRIM(INDEX('ตารางเวร'!$C$10:$AG$29,3,$A9)),""))</f>
        <v/>
      </c>
      <c r="F9">
        <f>IF($B9=0,"",IFERROR(TRIM(INDEX('ตารางเวร'!$C$10:$AG$29,4,$A9)),""))</f>
        <v/>
      </c>
      <c r="G9">
        <f>IF($B9=0,"",IFERROR(TRIM(INDEX('ตารางเวร'!$C$10:$AG$29,5,$A9)),""))</f>
        <v/>
      </c>
      <c r="H9">
        <f>IF($B9=0,"",IFERROR(TRIM(INDEX('ตารางเวร'!$C$10:$AG$29,6,$A9)),""))</f>
        <v/>
      </c>
      <c r="I9">
        <f>IF($B9=0,"",IFERROR(TRIM(INDEX('ตารางเวร'!$C$10:$AG$29,7,$A9)),""))</f>
        <v/>
      </c>
      <c r="J9">
        <f>IF($B9=0,"",IFERROR(TRIM(INDEX('ตารางเวร'!$C$10:$AG$29,8,$A9)),""))</f>
        <v/>
      </c>
      <c r="K9">
        <f>IF($B9=0,"",IFERROR(TRIM(INDEX('ตารางเวร'!$C$10:$AG$29,9,$A9)),""))</f>
        <v/>
      </c>
      <c r="L9">
        <f>IF($B9=0,"",IFERROR(TRIM(INDEX('ตารางเวร'!$C$10:$AG$29,10,$A9)),""))</f>
        <v/>
      </c>
      <c r="M9">
        <f>IF($B9=0,"",IFERROR(TRIM(INDEX('ตารางเวร'!$C$10:$AG$29,11,$A9)),""))</f>
        <v/>
      </c>
      <c r="N9">
        <f>IF($B9=0,"",IFERROR(TRIM(INDEX('ตารางเวร'!$C$10:$AG$29,12,$A9)),""))</f>
        <v/>
      </c>
      <c r="O9">
        <f>IF($B9=0,"",IFERROR(TRIM(INDEX('ตารางเวร'!$C$10:$AG$29,13,$A9)),""))</f>
        <v/>
      </c>
      <c r="P9">
        <f>IF($B9=0,"",IFERROR(TRIM(INDEX('ตารางเวร'!$C$10:$AG$29,14,$A9)),""))</f>
        <v/>
      </c>
      <c r="Q9">
        <f>IF($B9=0,"",IFERROR(TRIM(INDEX('ตารางเวร'!$C$10:$AG$29,15,$A9)),""))</f>
        <v/>
      </c>
      <c r="R9">
        <f>IF($B9=0,"",IFERROR(TRIM(INDEX('ตารางเวร'!$C$10:$AG$29,16,$A9)),""))</f>
        <v/>
      </c>
      <c r="S9">
        <f>IF($B9=0,"",IFERROR(TRIM(INDEX('ตารางเวร'!$C$10:$AG$29,17,$A9)),""))</f>
        <v/>
      </c>
      <c r="T9">
        <f>IF($B9=0,"",IFERROR(TRIM(INDEX('ตารางเวร'!$C$10:$AG$29,18,$A9)),""))</f>
        <v/>
      </c>
      <c r="U9">
        <f>IF($B9=0,"",IFERROR(TRIM(INDEX('ตารางเวร'!$C$10:$AG$29,19,$A9)),""))</f>
        <v/>
      </c>
      <c r="V9">
        <f>IF($B9=0,"",IFERROR(TRIM(INDEX('ตารางเวร'!$C$10:$AG$29,20,$A9)),""))</f>
        <v/>
      </c>
      <c r="W9">
        <f>IF(AND($B9=1,C9&lt;&gt;"",ISNUMBER(FIND("*",C9))),MOD((MOD('ตารางเวร'!$B$4,9973)*7919+$A9*40289)*(1*104729+7919),99991)*100+1,999999999)</f>
        <v/>
      </c>
      <c r="X9">
        <f>IF(AND($B9=1,D9&lt;&gt;"",ISNUMBER(FIND("*",D9))),MOD((MOD('ตารางเวร'!$B$4,9973)*7919+$A9*40289)*(2*104729+7919),99991)*100+2,999999999)</f>
        <v/>
      </c>
      <c r="Y9">
        <f>IF(AND($B9=1,E9&lt;&gt;"",ISNUMBER(FIND("*",E9))),MOD((MOD('ตารางเวร'!$B$4,9973)*7919+$A9*40289)*(3*104729+7919),99991)*100+3,999999999)</f>
        <v/>
      </c>
      <c r="Z9">
        <f>IF(AND($B9=1,F9&lt;&gt;"",ISNUMBER(FIND("*",F9))),MOD((MOD('ตารางเวร'!$B$4,9973)*7919+$A9*40289)*(4*104729+7919),99991)*100+4,999999999)</f>
        <v/>
      </c>
      <c r="AA9">
        <f>IF(AND($B9=1,G9&lt;&gt;"",ISNUMBER(FIND("*",G9))),MOD((MOD('ตารางเวร'!$B$4,9973)*7919+$A9*40289)*(5*104729+7919),99991)*100+5,999999999)</f>
        <v/>
      </c>
      <c r="AB9">
        <f>IF(AND($B9=1,H9&lt;&gt;"",ISNUMBER(FIND("*",H9))),MOD((MOD('ตารางเวร'!$B$4,9973)*7919+$A9*40289)*(6*104729+7919),99991)*100+6,999999999)</f>
        <v/>
      </c>
      <c r="AC9">
        <f>IF(AND($B9=1,I9&lt;&gt;"",ISNUMBER(FIND("*",I9))),MOD((MOD('ตารางเวร'!$B$4,9973)*7919+$A9*40289)*(7*104729+7919),99991)*100+7,999999999)</f>
        <v/>
      </c>
      <c r="AD9">
        <f>IF(AND($B9=1,J9&lt;&gt;"",ISNUMBER(FIND("*",J9))),MOD((MOD('ตารางเวร'!$B$4,9973)*7919+$A9*40289)*(8*104729+7919),99991)*100+8,999999999)</f>
        <v/>
      </c>
      <c r="AE9">
        <f>IF(AND($B9=1,K9&lt;&gt;"",ISNUMBER(FIND("*",K9))),MOD((MOD('ตารางเวร'!$B$4,9973)*7919+$A9*40289)*(9*104729+7919),99991)*100+9,999999999)</f>
        <v/>
      </c>
      <c r="AF9">
        <f>IF(AND($B9=1,L9&lt;&gt;"",ISNUMBER(FIND("*",L9))),MOD((MOD('ตารางเวร'!$B$4,9973)*7919+$A9*40289)*(10*104729+7919),99991)*100+10,999999999)</f>
        <v/>
      </c>
      <c r="AG9">
        <f>IF(AND($B9=1,M9&lt;&gt;"",ISNUMBER(FIND("*",M9))),MOD((MOD('ตารางเวร'!$B$4,9973)*7919+$A9*40289)*(11*104729+7919),99991)*100+11,999999999)</f>
        <v/>
      </c>
      <c r="AH9">
        <f>IF(AND($B9=1,N9&lt;&gt;"",ISNUMBER(FIND("*",N9))),MOD((MOD('ตารางเวร'!$B$4,9973)*7919+$A9*40289)*(12*104729+7919),99991)*100+12,999999999)</f>
        <v/>
      </c>
      <c r="AI9">
        <f>IF(AND($B9=1,O9&lt;&gt;"",ISNUMBER(FIND("*",O9))),MOD((MOD('ตารางเวร'!$B$4,9973)*7919+$A9*40289)*(13*104729+7919),99991)*100+13,999999999)</f>
        <v/>
      </c>
      <c r="AJ9">
        <f>IF(AND($B9=1,P9&lt;&gt;"",ISNUMBER(FIND("*",P9))),MOD((MOD('ตารางเวร'!$B$4,9973)*7919+$A9*40289)*(14*104729+7919),99991)*100+14,999999999)</f>
        <v/>
      </c>
      <c r="AK9">
        <f>IF(AND($B9=1,Q9&lt;&gt;"",ISNUMBER(FIND("*",Q9))),MOD((MOD('ตารางเวร'!$B$4,9973)*7919+$A9*40289)*(15*104729+7919),99991)*100+15,999999999)</f>
        <v/>
      </c>
      <c r="AL9">
        <f>IF(AND($B9=1,R9&lt;&gt;"",ISNUMBER(FIND("*",R9))),MOD((MOD('ตารางเวร'!$B$4,9973)*7919+$A9*40289)*(16*104729+7919),99991)*100+16,999999999)</f>
        <v/>
      </c>
      <c r="AM9">
        <f>IF(AND($B9=1,S9&lt;&gt;"",ISNUMBER(FIND("*",S9))),MOD((MOD('ตารางเวร'!$B$4,9973)*7919+$A9*40289)*(17*104729+7919),99991)*100+17,999999999)</f>
        <v/>
      </c>
      <c r="AN9">
        <f>IF(AND($B9=1,T9&lt;&gt;"",ISNUMBER(FIND("*",T9))),MOD((MOD('ตารางเวร'!$B$4,9973)*7919+$A9*40289)*(18*104729+7919),99991)*100+18,999999999)</f>
        <v/>
      </c>
      <c r="AO9">
        <f>IF(AND($B9=1,U9&lt;&gt;"",ISNUMBER(FIND("*",U9))),MOD((MOD('ตารางเวร'!$B$4,9973)*7919+$A9*40289)*(19*104729+7919),99991)*100+19,999999999)</f>
        <v/>
      </c>
      <c r="AP9">
        <f>IF(AND($B9=1,V9&lt;&gt;"",ISNUMBER(FIND("*",V9))),MOD((MOD('ตารางเวร'!$B$4,9973)*7919+$A9*40289)*(20*104729+7919),99991)*100+20,999999999)</f>
        <v/>
      </c>
      <c r="AQ9">
        <f>IF(TRIM('ตารางเวร'!$B$10)&lt;&gt;"",999999999,W9)</f>
        <v/>
      </c>
      <c r="AR9">
        <f>IF(TRIM('ตารางเวร'!$B$11)&lt;&gt;"",999999999,X9)</f>
        <v/>
      </c>
      <c r="AS9">
        <f>IF(TRIM('ตารางเวร'!$B$12)&lt;&gt;"",999999999,Y9)</f>
        <v/>
      </c>
      <c r="AT9">
        <f>IF(TRIM('ตารางเวร'!$B$13)&lt;&gt;"",999999999,Z9)</f>
        <v/>
      </c>
      <c r="AU9">
        <f>IF(TRIM('ตารางเวร'!$B$14)&lt;&gt;"",999999999,AA9)</f>
        <v/>
      </c>
      <c r="AV9">
        <f>IF(TRIM('ตารางเวร'!$B$15)&lt;&gt;"",999999999,AB9)</f>
        <v/>
      </c>
      <c r="AW9">
        <f>IF(TRIM('ตารางเวร'!$B$16)&lt;&gt;"",999999999,AC9)</f>
        <v/>
      </c>
      <c r="AX9">
        <f>IF(TRIM('ตารางเวร'!$B$17)&lt;&gt;"",999999999,AD9)</f>
        <v/>
      </c>
      <c r="AY9">
        <f>IF(TRIM('ตารางเวร'!$B$18)&lt;&gt;"",999999999,AE9)</f>
        <v/>
      </c>
      <c r="AZ9">
        <f>IF(TRIM('ตารางเวร'!$B$19)&lt;&gt;"",999999999,AF9)</f>
        <v/>
      </c>
      <c r="BA9">
        <f>IF(TRIM('ตารางเวร'!$B$20)&lt;&gt;"",999999999,AG9)</f>
        <v/>
      </c>
      <c r="BB9">
        <f>IF(TRIM('ตารางเวร'!$B$21)&lt;&gt;"",999999999,AH9)</f>
        <v/>
      </c>
      <c r="BC9">
        <f>IF(TRIM('ตารางเวร'!$B$22)&lt;&gt;"",999999999,AI9)</f>
        <v/>
      </c>
      <c r="BD9">
        <f>IF(TRIM('ตารางเวร'!$B$23)&lt;&gt;"",999999999,AJ9)</f>
        <v/>
      </c>
      <c r="BE9">
        <f>IF(TRIM('ตารางเวร'!$B$24)&lt;&gt;"",999999999,AK9)</f>
        <v/>
      </c>
      <c r="BF9">
        <f>IF(TRIM('ตารางเวร'!$B$25)&lt;&gt;"",999999999,AL9)</f>
        <v/>
      </c>
      <c r="BG9">
        <f>IF(TRIM('ตารางเวร'!$B$26)&lt;&gt;"",999999999,AM9)</f>
        <v/>
      </c>
      <c r="BH9">
        <f>IF(TRIM('ตารางเวร'!$B$27)&lt;&gt;"",999999999,AN9)</f>
        <v/>
      </c>
      <c r="BI9">
        <f>IF(TRIM('ตารางเวร'!$B$28)&lt;&gt;"",999999999,AO9)</f>
        <v/>
      </c>
      <c r="BJ9">
        <f>IF(TRIM('ตารางเวร'!$B$29)&lt;&gt;"",999999999,AP9)</f>
        <v/>
      </c>
      <c r="BK9">
        <f>IF(AND($B9=1,C9&lt;&gt;"",NOT(ISNUMBER(FIND("*",C9)))),1,999999)</f>
        <v/>
      </c>
      <c r="BL9">
        <f>IF(AND($B9=1,D9&lt;&gt;"",NOT(ISNUMBER(FIND("*",D9)))),2,999999)</f>
        <v/>
      </c>
      <c r="BM9">
        <f>IF(AND($B9=1,E9&lt;&gt;"",NOT(ISNUMBER(FIND("*",E9)))),3,999999)</f>
        <v/>
      </c>
      <c r="BN9">
        <f>IF(AND($B9=1,F9&lt;&gt;"",NOT(ISNUMBER(FIND("*",F9)))),4,999999)</f>
        <v/>
      </c>
      <c r="BO9">
        <f>IF(AND($B9=1,G9&lt;&gt;"",NOT(ISNUMBER(FIND("*",G9)))),5,999999)</f>
        <v/>
      </c>
      <c r="BP9">
        <f>IF(AND($B9=1,H9&lt;&gt;"",NOT(ISNUMBER(FIND("*",H9)))),6,999999)</f>
        <v/>
      </c>
      <c r="BQ9">
        <f>IF(AND($B9=1,I9&lt;&gt;"",NOT(ISNUMBER(FIND("*",I9)))),7,999999)</f>
        <v/>
      </c>
      <c r="BR9">
        <f>IF(AND($B9=1,J9&lt;&gt;"",NOT(ISNUMBER(FIND("*",J9)))),8,999999)</f>
        <v/>
      </c>
      <c r="BS9">
        <f>IF(AND($B9=1,K9&lt;&gt;"",NOT(ISNUMBER(FIND("*",K9)))),9,999999)</f>
        <v/>
      </c>
      <c r="BT9">
        <f>IF(AND($B9=1,L9&lt;&gt;"",NOT(ISNUMBER(FIND("*",L9)))),10,999999)</f>
        <v/>
      </c>
      <c r="BU9">
        <f>IF(AND($B9=1,M9&lt;&gt;"",NOT(ISNUMBER(FIND("*",M9)))),11,999999)</f>
        <v/>
      </c>
      <c r="BV9">
        <f>IF(AND($B9=1,N9&lt;&gt;"",NOT(ISNUMBER(FIND("*",N9)))),12,999999)</f>
        <v/>
      </c>
      <c r="BW9">
        <f>IF(AND($B9=1,O9&lt;&gt;"",NOT(ISNUMBER(FIND("*",O9)))),13,999999)</f>
        <v/>
      </c>
      <c r="BX9">
        <f>IF(AND($B9=1,P9&lt;&gt;"",NOT(ISNUMBER(FIND("*",P9)))),14,999999)</f>
        <v/>
      </c>
      <c r="BY9">
        <f>IF(AND($B9=1,Q9&lt;&gt;"",NOT(ISNUMBER(FIND("*",Q9)))),15,999999)</f>
        <v/>
      </c>
      <c r="BZ9">
        <f>IF(AND($B9=1,R9&lt;&gt;"",NOT(ISNUMBER(FIND("*",R9)))),16,999999)</f>
        <v/>
      </c>
      <c r="CA9">
        <f>IF(AND($B9=1,S9&lt;&gt;"",NOT(ISNUMBER(FIND("*",S9)))),17,999999)</f>
        <v/>
      </c>
      <c r="CB9">
        <f>IF(AND($B9=1,T9&lt;&gt;"",NOT(ISNUMBER(FIND("*",T9)))),18,999999)</f>
        <v/>
      </c>
      <c r="CC9">
        <f>IF(AND($B9=1,U9&lt;&gt;"",NOT(ISNUMBER(FIND("*",U9)))),19,999999)</f>
        <v/>
      </c>
      <c r="CD9">
        <f>IF(AND($B9=1,V9&lt;&gt;"",NOT(ISNUMBER(FIND("*",V9)))),20,999999)</f>
        <v/>
      </c>
      <c r="CE9">
        <f>IF(MIN(AQ9:BJ9)&gt;=999999999,0,MATCH(MIN(AQ9:BJ9),AQ9:BJ9,0))</f>
        <v/>
      </c>
      <c r="CF9">
        <f>IF($CE9=1,999999999,W9)</f>
        <v/>
      </c>
      <c r="CG9">
        <f>IF($CE9=2,999999999,X9)</f>
        <v/>
      </c>
      <c r="CH9">
        <f>IF($CE9=3,999999999,Y9)</f>
        <v/>
      </c>
      <c r="CI9">
        <f>IF($CE9=4,999999999,Z9)</f>
        <v/>
      </c>
      <c r="CJ9">
        <f>IF($CE9=5,999999999,AA9)</f>
        <v/>
      </c>
      <c r="CK9">
        <f>IF($CE9=6,999999999,AB9)</f>
        <v/>
      </c>
      <c r="CL9">
        <f>IF($CE9=7,999999999,AC9)</f>
        <v/>
      </c>
      <c r="CM9">
        <f>IF($CE9=8,999999999,AD9)</f>
        <v/>
      </c>
      <c r="CN9">
        <f>IF($CE9=9,999999999,AE9)</f>
        <v/>
      </c>
      <c r="CO9">
        <f>IF($CE9=10,999999999,AF9)</f>
        <v/>
      </c>
      <c r="CP9">
        <f>IF($CE9=11,999999999,AG9)</f>
        <v/>
      </c>
      <c r="CQ9">
        <f>IF($CE9=12,999999999,AH9)</f>
        <v/>
      </c>
      <c r="CR9">
        <f>IF($CE9=13,999999999,AI9)</f>
        <v/>
      </c>
      <c r="CS9">
        <f>IF($CE9=14,999999999,AJ9)</f>
        <v/>
      </c>
      <c r="CT9">
        <f>IF($CE9=15,999999999,AK9)</f>
        <v/>
      </c>
      <c r="CU9">
        <f>IF($CE9=16,999999999,AL9)</f>
        <v/>
      </c>
      <c r="CV9">
        <f>IF($CE9=17,999999999,AM9)</f>
        <v/>
      </c>
      <c r="CW9">
        <f>IF($CE9=18,999999999,AN9)</f>
        <v/>
      </c>
      <c r="CX9">
        <f>IF($CE9=19,999999999,AO9)</f>
        <v/>
      </c>
      <c r="CY9">
        <f>IF($CE9=20,999999999,AP9)</f>
        <v/>
      </c>
      <c r="CZ9">
        <f>COUNTIF(W9:AP9,"&lt;999999999")</f>
        <v/>
      </c>
      <c r="DA9">
        <f>COUNTIF(BK9:CD9,"&lt;999999")</f>
        <v/>
      </c>
      <c r="DB9">
        <f>$CZ9-IF($CE9&gt;0,1,0)</f>
        <v/>
      </c>
      <c r="DC9">
        <f>IF(OR($B9=0,C9=""),0,DC8+1)</f>
        <v/>
      </c>
      <c r="DD9">
        <f>IF(OR($B9=0,D9=""),0,DD8+1)</f>
        <v/>
      </c>
      <c r="DE9">
        <f>IF(OR($B9=0,E9=""),0,DE8+1)</f>
        <v/>
      </c>
      <c r="DF9">
        <f>IF(OR($B9=0,F9=""),0,DF8+1)</f>
        <v/>
      </c>
      <c r="DG9">
        <f>IF(OR($B9=0,G9=""),0,DG8+1)</f>
        <v/>
      </c>
      <c r="DH9">
        <f>IF(OR($B9=0,H9=""),0,DH8+1)</f>
        <v/>
      </c>
      <c r="DI9">
        <f>IF(OR($B9=0,I9=""),0,DI8+1)</f>
        <v/>
      </c>
      <c r="DJ9">
        <f>IF(OR($B9=0,J9=""),0,DJ8+1)</f>
        <v/>
      </c>
      <c r="DK9">
        <f>IF(OR($B9=0,K9=""),0,DK8+1)</f>
        <v/>
      </c>
      <c r="DL9">
        <f>IF(OR($B9=0,L9=""),0,DL8+1)</f>
        <v/>
      </c>
      <c r="DM9">
        <f>IF(OR($B9=0,M9=""),0,DM8+1)</f>
        <v/>
      </c>
      <c r="DN9">
        <f>IF(OR($B9=0,N9=""),0,DN8+1)</f>
        <v/>
      </c>
      <c r="DO9">
        <f>IF(OR($B9=0,O9=""),0,DO8+1)</f>
        <v/>
      </c>
      <c r="DP9">
        <f>IF(OR($B9=0,P9=""),0,DP8+1)</f>
        <v/>
      </c>
      <c r="DQ9">
        <f>IF(OR($B9=0,Q9=""),0,DQ8+1)</f>
        <v/>
      </c>
      <c r="DR9">
        <f>IF(OR($B9=0,R9=""),0,DR8+1)</f>
        <v/>
      </c>
      <c r="DS9">
        <f>IF(OR($B9=0,S9=""),0,DS8+1)</f>
        <v/>
      </c>
      <c r="DT9">
        <f>IF(OR($B9=0,T9=""),0,DT8+1)</f>
        <v/>
      </c>
      <c r="DU9">
        <f>IF(OR($B9=0,U9=""),0,DU8+1)</f>
        <v/>
      </c>
      <c r="DV9">
        <f>IF(OR($B9=0,V9=""),0,DV8+1)</f>
        <v/>
      </c>
      <c r="DW9">
        <f>'ตารางเวร'!I$7</f>
        <v/>
      </c>
      <c r="DX9">
        <f>IF($B9=0,0,IF(WEEKDAY('ตารางเวร'!I$6,2)=IFERROR(MATCH('ตารางเวร'!$AM$11,'ตารางเวร'!$AO$10:$AO$17,0),0),1,0))</f>
        <v/>
      </c>
    </row>
    <row r="10">
      <c r="A10" t="n">
        <v>8</v>
      </c>
      <c r="B10">
        <f>IF(8&gt;DAY(EOMONTH(DATE('ตารางเวร'!$B$3-543,'ตารางเวร'!$B$2,1),0)),0,1)</f>
        <v/>
      </c>
      <c r="C10">
        <f>IF($B10=0,"",IFERROR(TRIM(INDEX('ตารางเวร'!$C$10:$AG$29,1,$A10)),""))</f>
        <v/>
      </c>
      <c r="D10">
        <f>IF($B10=0,"",IFERROR(TRIM(INDEX('ตารางเวร'!$C$10:$AG$29,2,$A10)),""))</f>
        <v/>
      </c>
      <c r="E10">
        <f>IF($B10=0,"",IFERROR(TRIM(INDEX('ตารางเวร'!$C$10:$AG$29,3,$A10)),""))</f>
        <v/>
      </c>
      <c r="F10">
        <f>IF($B10=0,"",IFERROR(TRIM(INDEX('ตารางเวร'!$C$10:$AG$29,4,$A10)),""))</f>
        <v/>
      </c>
      <c r="G10">
        <f>IF($B10=0,"",IFERROR(TRIM(INDEX('ตารางเวร'!$C$10:$AG$29,5,$A10)),""))</f>
        <v/>
      </c>
      <c r="H10">
        <f>IF($B10=0,"",IFERROR(TRIM(INDEX('ตารางเวร'!$C$10:$AG$29,6,$A10)),""))</f>
        <v/>
      </c>
      <c r="I10">
        <f>IF($B10=0,"",IFERROR(TRIM(INDEX('ตารางเวร'!$C$10:$AG$29,7,$A10)),""))</f>
        <v/>
      </c>
      <c r="J10">
        <f>IF($B10=0,"",IFERROR(TRIM(INDEX('ตารางเวร'!$C$10:$AG$29,8,$A10)),""))</f>
        <v/>
      </c>
      <c r="K10">
        <f>IF($B10=0,"",IFERROR(TRIM(INDEX('ตารางเวร'!$C$10:$AG$29,9,$A10)),""))</f>
        <v/>
      </c>
      <c r="L10">
        <f>IF($B10=0,"",IFERROR(TRIM(INDEX('ตารางเวร'!$C$10:$AG$29,10,$A10)),""))</f>
        <v/>
      </c>
      <c r="M10">
        <f>IF($B10=0,"",IFERROR(TRIM(INDEX('ตารางเวร'!$C$10:$AG$29,11,$A10)),""))</f>
        <v/>
      </c>
      <c r="N10">
        <f>IF($B10=0,"",IFERROR(TRIM(INDEX('ตารางเวร'!$C$10:$AG$29,12,$A10)),""))</f>
        <v/>
      </c>
      <c r="O10">
        <f>IF($B10=0,"",IFERROR(TRIM(INDEX('ตารางเวร'!$C$10:$AG$29,13,$A10)),""))</f>
        <v/>
      </c>
      <c r="P10">
        <f>IF($B10=0,"",IFERROR(TRIM(INDEX('ตารางเวร'!$C$10:$AG$29,14,$A10)),""))</f>
        <v/>
      </c>
      <c r="Q10">
        <f>IF($B10=0,"",IFERROR(TRIM(INDEX('ตารางเวร'!$C$10:$AG$29,15,$A10)),""))</f>
        <v/>
      </c>
      <c r="R10">
        <f>IF($B10=0,"",IFERROR(TRIM(INDEX('ตารางเวร'!$C$10:$AG$29,16,$A10)),""))</f>
        <v/>
      </c>
      <c r="S10">
        <f>IF($B10=0,"",IFERROR(TRIM(INDEX('ตารางเวร'!$C$10:$AG$29,17,$A10)),""))</f>
        <v/>
      </c>
      <c r="T10">
        <f>IF($B10=0,"",IFERROR(TRIM(INDEX('ตารางเวร'!$C$10:$AG$29,18,$A10)),""))</f>
        <v/>
      </c>
      <c r="U10">
        <f>IF($B10=0,"",IFERROR(TRIM(INDEX('ตารางเวร'!$C$10:$AG$29,19,$A10)),""))</f>
        <v/>
      </c>
      <c r="V10">
        <f>IF($B10=0,"",IFERROR(TRIM(INDEX('ตารางเวร'!$C$10:$AG$29,20,$A10)),""))</f>
        <v/>
      </c>
      <c r="W10">
        <f>IF(AND($B10=1,C10&lt;&gt;"",ISNUMBER(FIND("*",C10))),MOD((MOD('ตารางเวร'!$B$4,9973)*7919+$A10*40289)*(1*104729+7919),99991)*100+1,999999999)</f>
        <v/>
      </c>
      <c r="X10">
        <f>IF(AND($B10=1,D10&lt;&gt;"",ISNUMBER(FIND("*",D10))),MOD((MOD('ตารางเวร'!$B$4,9973)*7919+$A10*40289)*(2*104729+7919),99991)*100+2,999999999)</f>
        <v/>
      </c>
      <c r="Y10">
        <f>IF(AND($B10=1,E10&lt;&gt;"",ISNUMBER(FIND("*",E10))),MOD((MOD('ตารางเวร'!$B$4,9973)*7919+$A10*40289)*(3*104729+7919),99991)*100+3,999999999)</f>
        <v/>
      </c>
      <c r="Z10">
        <f>IF(AND($B10=1,F10&lt;&gt;"",ISNUMBER(FIND("*",F10))),MOD((MOD('ตารางเวร'!$B$4,9973)*7919+$A10*40289)*(4*104729+7919),99991)*100+4,999999999)</f>
        <v/>
      </c>
      <c r="AA10">
        <f>IF(AND($B10=1,G10&lt;&gt;"",ISNUMBER(FIND("*",G10))),MOD((MOD('ตารางเวร'!$B$4,9973)*7919+$A10*40289)*(5*104729+7919),99991)*100+5,999999999)</f>
        <v/>
      </c>
      <c r="AB10">
        <f>IF(AND($B10=1,H10&lt;&gt;"",ISNUMBER(FIND("*",H10))),MOD((MOD('ตารางเวร'!$B$4,9973)*7919+$A10*40289)*(6*104729+7919),99991)*100+6,999999999)</f>
        <v/>
      </c>
      <c r="AC10">
        <f>IF(AND($B10=1,I10&lt;&gt;"",ISNUMBER(FIND("*",I10))),MOD((MOD('ตารางเวร'!$B$4,9973)*7919+$A10*40289)*(7*104729+7919),99991)*100+7,999999999)</f>
        <v/>
      </c>
      <c r="AD10">
        <f>IF(AND($B10=1,J10&lt;&gt;"",ISNUMBER(FIND("*",J10))),MOD((MOD('ตารางเวร'!$B$4,9973)*7919+$A10*40289)*(8*104729+7919),99991)*100+8,999999999)</f>
        <v/>
      </c>
      <c r="AE10">
        <f>IF(AND($B10=1,K10&lt;&gt;"",ISNUMBER(FIND("*",K10))),MOD((MOD('ตารางเวร'!$B$4,9973)*7919+$A10*40289)*(9*104729+7919),99991)*100+9,999999999)</f>
        <v/>
      </c>
      <c r="AF10">
        <f>IF(AND($B10=1,L10&lt;&gt;"",ISNUMBER(FIND("*",L10))),MOD((MOD('ตารางเวร'!$B$4,9973)*7919+$A10*40289)*(10*104729+7919),99991)*100+10,999999999)</f>
        <v/>
      </c>
      <c r="AG10">
        <f>IF(AND($B10=1,M10&lt;&gt;"",ISNUMBER(FIND("*",M10))),MOD((MOD('ตารางเวร'!$B$4,9973)*7919+$A10*40289)*(11*104729+7919),99991)*100+11,999999999)</f>
        <v/>
      </c>
      <c r="AH10">
        <f>IF(AND($B10=1,N10&lt;&gt;"",ISNUMBER(FIND("*",N10))),MOD((MOD('ตารางเวร'!$B$4,9973)*7919+$A10*40289)*(12*104729+7919),99991)*100+12,999999999)</f>
        <v/>
      </c>
      <c r="AI10">
        <f>IF(AND($B10=1,O10&lt;&gt;"",ISNUMBER(FIND("*",O10))),MOD((MOD('ตารางเวร'!$B$4,9973)*7919+$A10*40289)*(13*104729+7919),99991)*100+13,999999999)</f>
        <v/>
      </c>
      <c r="AJ10">
        <f>IF(AND($B10=1,P10&lt;&gt;"",ISNUMBER(FIND("*",P10))),MOD((MOD('ตารางเวร'!$B$4,9973)*7919+$A10*40289)*(14*104729+7919),99991)*100+14,999999999)</f>
        <v/>
      </c>
      <c r="AK10">
        <f>IF(AND($B10=1,Q10&lt;&gt;"",ISNUMBER(FIND("*",Q10))),MOD((MOD('ตารางเวร'!$B$4,9973)*7919+$A10*40289)*(15*104729+7919),99991)*100+15,999999999)</f>
        <v/>
      </c>
      <c r="AL10">
        <f>IF(AND($B10=1,R10&lt;&gt;"",ISNUMBER(FIND("*",R10))),MOD((MOD('ตารางเวร'!$B$4,9973)*7919+$A10*40289)*(16*104729+7919),99991)*100+16,999999999)</f>
        <v/>
      </c>
      <c r="AM10">
        <f>IF(AND($B10=1,S10&lt;&gt;"",ISNUMBER(FIND("*",S10))),MOD((MOD('ตารางเวร'!$B$4,9973)*7919+$A10*40289)*(17*104729+7919),99991)*100+17,999999999)</f>
        <v/>
      </c>
      <c r="AN10">
        <f>IF(AND($B10=1,T10&lt;&gt;"",ISNUMBER(FIND("*",T10))),MOD((MOD('ตารางเวร'!$B$4,9973)*7919+$A10*40289)*(18*104729+7919),99991)*100+18,999999999)</f>
        <v/>
      </c>
      <c r="AO10">
        <f>IF(AND($B10=1,U10&lt;&gt;"",ISNUMBER(FIND("*",U10))),MOD((MOD('ตารางเวร'!$B$4,9973)*7919+$A10*40289)*(19*104729+7919),99991)*100+19,999999999)</f>
        <v/>
      </c>
      <c r="AP10">
        <f>IF(AND($B10=1,V10&lt;&gt;"",ISNUMBER(FIND("*",V10))),MOD((MOD('ตารางเวร'!$B$4,9973)*7919+$A10*40289)*(20*104729+7919),99991)*100+20,999999999)</f>
        <v/>
      </c>
      <c r="AQ10">
        <f>IF(TRIM('ตารางเวร'!$B$10)&lt;&gt;"",999999999,W10)</f>
        <v/>
      </c>
      <c r="AR10">
        <f>IF(TRIM('ตารางเวร'!$B$11)&lt;&gt;"",999999999,X10)</f>
        <v/>
      </c>
      <c r="AS10">
        <f>IF(TRIM('ตารางเวร'!$B$12)&lt;&gt;"",999999999,Y10)</f>
        <v/>
      </c>
      <c r="AT10">
        <f>IF(TRIM('ตารางเวร'!$B$13)&lt;&gt;"",999999999,Z10)</f>
        <v/>
      </c>
      <c r="AU10">
        <f>IF(TRIM('ตารางเวร'!$B$14)&lt;&gt;"",999999999,AA10)</f>
        <v/>
      </c>
      <c r="AV10">
        <f>IF(TRIM('ตารางเวร'!$B$15)&lt;&gt;"",999999999,AB10)</f>
        <v/>
      </c>
      <c r="AW10">
        <f>IF(TRIM('ตารางเวร'!$B$16)&lt;&gt;"",999999999,AC10)</f>
        <v/>
      </c>
      <c r="AX10">
        <f>IF(TRIM('ตารางเวร'!$B$17)&lt;&gt;"",999999999,AD10)</f>
        <v/>
      </c>
      <c r="AY10">
        <f>IF(TRIM('ตารางเวร'!$B$18)&lt;&gt;"",999999999,AE10)</f>
        <v/>
      </c>
      <c r="AZ10">
        <f>IF(TRIM('ตารางเวร'!$B$19)&lt;&gt;"",999999999,AF10)</f>
        <v/>
      </c>
      <c r="BA10">
        <f>IF(TRIM('ตารางเวร'!$B$20)&lt;&gt;"",999999999,AG10)</f>
        <v/>
      </c>
      <c r="BB10">
        <f>IF(TRIM('ตารางเวร'!$B$21)&lt;&gt;"",999999999,AH10)</f>
        <v/>
      </c>
      <c r="BC10">
        <f>IF(TRIM('ตารางเวร'!$B$22)&lt;&gt;"",999999999,AI10)</f>
        <v/>
      </c>
      <c r="BD10">
        <f>IF(TRIM('ตารางเวร'!$B$23)&lt;&gt;"",999999999,AJ10)</f>
        <v/>
      </c>
      <c r="BE10">
        <f>IF(TRIM('ตารางเวร'!$B$24)&lt;&gt;"",999999999,AK10)</f>
        <v/>
      </c>
      <c r="BF10">
        <f>IF(TRIM('ตารางเวร'!$B$25)&lt;&gt;"",999999999,AL10)</f>
        <v/>
      </c>
      <c r="BG10">
        <f>IF(TRIM('ตารางเวร'!$B$26)&lt;&gt;"",999999999,AM10)</f>
        <v/>
      </c>
      <c r="BH10">
        <f>IF(TRIM('ตารางเวร'!$B$27)&lt;&gt;"",999999999,AN10)</f>
        <v/>
      </c>
      <c r="BI10">
        <f>IF(TRIM('ตารางเวร'!$B$28)&lt;&gt;"",999999999,AO10)</f>
        <v/>
      </c>
      <c r="BJ10">
        <f>IF(TRIM('ตารางเวร'!$B$29)&lt;&gt;"",999999999,AP10)</f>
        <v/>
      </c>
      <c r="BK10">
        <f>IF(AND($B10=1,C10&lt;&gt;"",NOT(ISNUMBER(FIND("*",C10)))),1,999999)</f>
        <v/>
      </c>
      <c r="BL10">
        <f>IF(AND($B10=1,D10&lt;&gt;"",NOT(ISNUMBER(FIND("*",D10)))),2,999999)</f>
        <v/>
      </c>
      <c r="BM10">
        <f>IF(AND($B10=1,E10&lt;&gt;"",NOT(ISNUMBER(FIND("*",E10)))),3,999999)</f>
        <v/>
      </c>
      <c r="BN10">
        <f>IF(AND($B10=1,F10&lt;&gt;"",NOT(ISNUMBER(FIND("*",F10)))),4,999999)</f>
        <v/>
      </c>
      <c r="BO10">
        <f>IF(AND($B10=1,G10&lt;&gt;"",NOT(ISNUMBER(FIND("*",G10)))),5,999999)</f>
        <v/>
      </c>
      <c r="BP10">
        <f>IF(AND($B10=1,H10&lt;&gt;"",NOT(ISNUMBER(FIND("*",H10)))),6,999999)</f>
        <v/>
      </c>
      <c r="BQ10">
        <f>IF(AND($B10=1,I10&lt;&gt;"",NOT(ISNUMBER(FIND("*",I10)))),7,999999)</f>
        <v/>
      </c>
      <c r="BR10">
        <f>IF(AND($B10=1,J10&lt;&gt;"",NOT(ISNUMBER(FIND("*",J10)))),8,999999)</f>
        <v/>
      </c>
      <c r="BS10">
        <f>IF(AND($B10=1,K10&lt;&gt;"",NOT(ISNUMBER(FIND("*",K10)))),9,999999)</f>
        <v/>
      </c>
      <c r="BT10">
        <f>IF(AND($B10=1,L10&lt;&gt;"",NOT(ISNUMBER(FIND("*",L10)))),10,999999)</f>
        <v/>
      </c>
      <c r="BU10">
        <f>IF(AND($B10=1,M10&lt;&gt;"",NOT(ISNUMBER(FIND("*",M10)))),11,999999)</f>
        <v/>
      </c>
      <c r="BV10">
        <f>IF(AND($B10=1,N10&lt;&gt;"",NOT(ISNUMBER(FIND("*",N10)))),12,999999)</f>
        <v/>
      </c>
      <c r="BW10">
        <f>IF(AND($B10=1,O10&lt;&gt;"",NOT(ISNUMBER(FIND("*",O10)))),13,999999)</f>
        <v/>
      </c>
      <c r="BX10">
        <f>IF(AND($B10=1,P10&lt;&gt;"",NOT(ISNUMBER(FIND("*",P10)))),14,999999)</f>
        <v/>
      </c>
      <c r="BY10">
        <f>IF(AND($B10=1,Q10&lt;&gt;"",NOT(ISNUMBER(FIND("*",Q10)))),15,999999)</f>
        <v/>
      </c>
      <c r="BZ10">
        <f>IF(AND($B10=1,R10&lt;&gt;"",NOT(ISNUMBER(FIND("*",R10)))),16,999999)</f>
        <v/>
      </c>
      <c r="CA10">
        <f>IF(AND($B10=1,S10&lt;&gt;"",NOT(ISNUMBER(FIND("*",S10)))),17,999999)</f>
        <v/>
      </c>
      <c r="CB10">
        <f>IF(AND($B10=1,T10&lt;&gt;"",NOT(ISNUMBER(FIND("*",T10)))),18,999999)</f>
        <v/>
      </c>
      <c r="CC10">
        <f>IF(AND($B10=1,U10&lt;&gt;"",NOT(ISNUMBER(FIND("*",U10)))),19,999999)</f>
        <v/>
      </c>
      <c r="CD10">
        <f>IF(AND($B10=1,V10&lt;&gt;"",NOT(ISNUMBER(FIND("*",V10)))),20,999999)</f>
        <v/>
      </c>
      <c r="CE10">
        <f>IF(MIN(AQ10:BJ10)&gt;=999999999,0,MATCH(MIN(AQ10:BJ10),AQ10:BJ10,0))</f>
        <v/>
      </c>
      <c r="CF10">
        <f>IF($CE10=1,999999999,W10)</f>
        <v/>
      </c>
      <c r="CG10">
        <f>IF($CE10=2,999999999,X10)</f>
        <v/>
      </c>
      <c r="CH10">
        <f>IF($CE10=3,999999999,Y10)</f>
        <v/>
      </c>
      <c r="CI10">
        <f>IF($CE10=4,999999999,Z10)</f>
        <v/>
      </c>
      <c r="CJ10">
        <f>IF($CE10=5,999999999,AA10)</f>
        <v/>
      </c>
      <c r="CK10">
        <f>IF($CE10=6,999999999,AB10)</f>
        <v/>
      </c>
      <c r="CL10">
        <f>IF($CE10=7,999999999,AC10)</f>
        <v/>
      </c>
      <c r="CM10">
        <f>IF($CE10=8,999999999,AD10)</f>
        <v/>
      </c>
      <c r="CN10">
        <f>IF($CE10=9,999999999,AE10)</f>
        <v/>
      </c>
      <c r="CO10">
        <f>IF($CE10=10,999999999,AF10)</f>
        <v/>
      </c>
      <c r="CP10">
        <f>IF($CE10=11,999999999,AG10)</f>
        <v/>
      </c>
      <c r="CQ10">
        <f>IF($CE10=12,999999999,AH10)</f>
        <v/>
      </c>
      <c r="CR10">
        <f>IF($CE10=13,999999999,AI10)</f>
        <v/>
      </c>
      <c r="CS10">
        <f>IF($CE10=14,999999999,AJ10)</f>
        <v/>
      </c>
      <c r="CT10">
        <f>IF($CE10=15,999999999,AK10)</f>
        <v/>
      </c>
      <c r="CU10">
        <f>IF($CE10=16,999999999,AL10)</f>
        <v/>
      </c>
      <c r="CV10">
        <f>IF($CE10=17,999999999,AM10)</f>
        <v/>
      </c>
      <c r="CW10">
        <f>IF($CE10=18,999999999,AN10)</f>
        <v/>
      </c>
      <c r="CX10">
        <f>IF($CE10=19,999999999,AO10)</f>
        <v/>
      </c>
      <c r="CY10">
        <f>IF($CE10=20,999999999,AP10)</f>
        <v/>
      </c>
      <c r="CZ10">
        <f>COUNTIF(W10:AP10,"&lt;999999999")</f>
        <v/>
      </c>
      <c r="DA10">
        <f>COUNTIF(BK10:CD10,"&lt;999999")</f>
        <v/>
      </c>
      <c r="DB10">
        <f>$CZ10-IF($CE10&gt;0,1,0)</f>
        <v/>
      </c>
      <c r="DC10">
        <f>IF(OR($B10=0,C10=""),0,DC9+1)</f>
        <v/>
      </c>
      <c r="DD10">
        <f>IF(OR($B10=0,D10=""),0,DD9+1)</f>
        <v/>
      </c>
      <c r="DE10">
        <f>IF(OR($B10=0,E10=""),0,DE9+1)</f>
        <v/>
      </c>
      <c r="DF10">
        <f>IF(OR($B10=0,F10=""),0,DF9+1)</f>
        <v/>
      </c>
      <c r="DG10">
        <f>IF(OR($B10=0,G10=""),0,DG9+1)</f>
        <v/>
      </c>
      <c r="DH10">
        <f>IF(OR($B10=0,H10=""),0,DH9+1)</f>
        <v/>
      </c>
      <c r="DI10">
        <f>IF(OR($B10=0,I10=""),0,DI9+1)</f>
        <v/>
      </c>
      <c r="DJ10">
        <f>IF(OR($B10=0,J10=""),0,DJ9+1)</f>
        <v/>
      </c>
      <c r="DK10">
        <f>IF(OR($B10=0,K10=""),0,DK9+1)</f>
        <v/>
      </c>
      <c r="DL10">
        <f>IF(OR($B10=0,L10=""),0,DL9+1)</f>
        <v/>
      </c>
      <c r="DM10">
        <f>IF(OR($B10=0,M10=""),0,DM9+1)</f>
        <v/>
      </c>
      <c r="DN10">
        <f>IF(OR($B10=0,N10=""),0,DN9+1)</f>
        <v/>
      </c>
      <c r="DO10">
        <f>IF(OR($B10=0,O10=""),0,DO9+1)</f>
        <v/>
      </c>
      <c r="DP10">
        <f>IF(OR($B10=0,P10=""),0,DP9+1)</f>
        <v/>
      </c>
      <c r="DQ10">
        <f>IF(OR($B10=0,Q10=""),0,DQ9+1)</f>
        <v/>
      </c>
      <c r="DR10">
        <f>IF(OR($B10=0,R10=""),0,DR9+1)</f>
        <v/>
      </c>
      <c r="DS10">
        <f>IF(OR($B10=0,S10=""),0,DS9+1)</f>
        <v/>
      </c>
      <c r="DT10">
        <f>IF(OR($B10=0,T10=""),0,DT9+1)</f>
        <v/>
      </c>
      <c r="DU10">
        <f>IF(OR($B10=0,U10=""),0,DU9+1)</f>
        <v/>
      </c>
      <c r="DV10">
        <f>IF(OR($B10=0,V10=""),0,DV9+1)</f>
        <v/>
      </c>
      <c r="DW10">
        <f>'ตารางเวร'!J$7</f>
        <v/>
      </c>
      <c r="DX10">
        <f>IF($B10=0,0,IF(WEEKDAY('ตารางเวร'!J$6,2)=IFERROR(MATCH('ตารางเวร'!$AM$11,'ตารางเวร'!$AO$10:$AO$17,0),0),1,0))</f>
        <v/>
      </c>
    </row>
    <row r="11">
      <c r="A11" t="n">
        <v>9</v>
      </c>
      <c r="B11">
        <f>IF(9&gt;DAY(EOMONTH(DATE('ตารางเวร'!$B$3-543,'ตารางเวร'!$B$2,1),0)),0,1)</f>
        <v/>
      </c>
      <c r="C11">
        <f>IF($B11=0,"",IFERROR(TRIM(INDEX('ตารางเวร'!$C$10:$AG$29,1,$A11)),""))</f>
        <v/>
      </c>
      <c r="D11">
        <f>IF($B11=0,"",IFERROR(TRIM(INDEX('ตารางเวร'!$C$10:$AG$29,2,$A11)),""))</f>
        <v/>
      </c>
      <c r="E11">
        <f>IF($B11=0,"",IFERROR(TRIM(INDEX('ตารางเวร'!$C$10:$AG$29,3,$A11)),""))</f>
        <v/>
      </c>
      <c r="F11">
        <f>IF($B11=0,"",IFERROR(TRIM(INDEX('ตารางเวร'!$C$10:$AG$29,4,$A11)),""))</f>
        <v/>
      </c>
      <c r="G11">
        <f>IF($B11=0,"",IFERROR(TRIM(INDEX('ตารางเวร'!$C$10:$AG$29,5,$A11)),""))</f>
        <v/>
      </c>
      <c r="H11">
        <f>IF($B11=0,"",IFERROR(TRIM(INDEX('ตารางเวร'!$C$10:$AG$29,6,$A11)),""))</f>
        <v/>
      </c>
      <c r="I11">
        <f>IF($B11=0,"",IFERROR(TRIM(INDEX('ตารางเวร'!$C$10:$AG$29,7,$A11)),""))</f>
        <v/>
      </c>
      <c r="J11">
        <f>IF($B11=0,"",IFERROR(TRIM(INDEX('ตารางเวร'!$C$10:$AG$29,8,$A11)),""))</f>
        <v/>
      </c>
      <c r="K11">
        <f>IF($B11=0,"",IFERROR(TRIM(INDEX('ตารางเวร'!$C$10:$AG$29,9,$A11)),""))</f>
        <v/>
      </c>
      <c r="L11">
        <f>IF($B11=0,"",IFERROR(TRIM(INDEX('ตารางเวร'!$C$10:$AG$29,10,$A11)),""))</f>
        <v/>
      </c>
      <c r="M11">
        <f>IF($B11=0,"",IFERROR(TRIM(INDEX('ตารางเวร'!$C$10:$AG$29,11,$A11)),""))</f>
        <v/>
      </c>
      <c r="N11">
        <f>IF($B11=0,"",IFERROR(TRIM(INDEX('ตารางเวร'!$C$10:$AG$29,12,$A11)),""))</f>
        <v/>
      </c>
      <c r="O11">
        <f>IF($B11=0,"",IFERROR(TRIM(INDEX('ตารางเวร'!$C$10:$AG$29,13,$A11)),""))</f>
        <v/>
      </c>
      <c r="P11">
        <f>IF($B11=0,"",IFERROR(TRIM(INDEX('ตารางเวร'!$C$10:$AG$29,14,$A11)),""))</f>
        <v/>
      </c>
      <c r="Q11">
        <f>IF($B11=0,"",IFERROR(TRIM(INDEX('ตารางเวร'!$C$10:$AG$29,15,$A11)),""))</f>
        <v/>
      </c>
      <c r="R11">
        <f>IF($B11=0,"",IFERROR(TRIM(INDEX('ตารางเวร'!$C$10:$AG$29,16,$A11)),""))</f>
        <v/>
      </c>
      <c r="S11">
        <f>IF($B11=0,"",IFERROR(TRIM(INDEX('ตารางเวร'!$C$10:$AG$29,17,$A11)),""))</f>
        <v/>
      </c>
      <c r="T11">
        <f>IF($B11=0,"",IFERROR(TRIM(INDEX('ตารางเวร'!$C$10:$AG$29,18,$A11)),""))</f>
        <v/>
      </c>
      <c r="U11">
        <f>IF($B11=0,"",IFERROR(TRIM(INDEX('ตารางเวร'!$C$10:$AG$29,19,$A11)),""))</f>
        <v/>
      </c>
      <c r="V11">
        <f>IF($B11=0,"",IFERROR(TRIM(INDEX('ตารางเวร'!$C$10:$AG$29,20,$A11)),""))</f>
        <v/>
      </c>
      <c r="W11">
        <f>IF(AND($B11=1,C11&lt;&gt;"",ISNUMBER(FIND("*",C11))),MOD((MOD('ตารางเวร'!$B$4,9973)*7919+$A11*40289)*(1*104729+7919),99991)*100+1,999999999)</f>
        <v/>
      </c>
      <c r="X11">
        <f>IF(AND($B11=1,D11&lt;&gt;"",ISNUMBER(FIND("*",D11))),MOD((MOD('ตารางเวร'!$B$4,9973)*7919+$A11*40289)*(2*104729+7919),99991)*100+2,999999999)</f>
        <v/>
      </c>
      <c r="Y11">
        <f>IF(AND($B11=1,E11&lt;&gt;"",ISNUMBER(FIND("*",E11))),MOD((MOD('ตารางเวร'!$B$4,9973)*7919+$A11*40289)*(3*104729+7919),99991)*100+3,999999999)</f>
        <v/>
      </c>
      <c r="Z11">
        <f>IF(AND($B11=1,F11&lt;&gt;"",ISNUMBER(FIND("*",F11))),MOD((MOD('ตารางเวร'!$B$4,9973)*7919+$A11*40289)*(4*104729+7919),99991)*100+4,999999999)</f>
        <v/>
      </c>
      <c r="AA11">
        <f>IF(AND($B11=1,G11&lt;&gt;"",ISNUMBER(FIND("*",G11))),MOD((MOD('ตารางเวร'!$B$4,9973)*7919+$A11*40289)*(5*104729+7919),99991)*100+5,999999999)</f>
        <v/>
      </c>
      <c r="AB11">
        <f>IF(AND($B11=1,H11&lt;&gt;"",ISNUMBER(FIND("*",H11))),MOD((MOD('ตารางเวร'!$B$4,9973)*7919+$A11*40289)*(6*104729+7919),99991)*100+6,999999999)</f>
        <v/>
      </c>
      <c r="AC11">
        <f>IF(AND($B11=1,I11&lt;&gt;"",ISNUMBER(FIND("*",I11))),MOD((MOD('ตารางเวร'!$B$4,9973)*7919+$A11*40289)*(7*104729+7919),99991)*100+7,999999999)</f>
        <v/>
      </c>
      <c r="AD11">
        <f>IF(AND($B11=1,J11&lt;&gt;"",ISNUMBER(FIND("*",J11))),MOD((MOD('ตารางเวร'!$B$4,9973)*7919+$A11*40289)*(8*104729+7919),99991)*100+8,999999999)</f>
        <v/>
      </c>
      <c r="AE11">
        <f>IF(AND($B11=1,K11&lt;&gt;"",ISNUMBER(FIND("*",K11))),MOD((MOD('ตารางเวร'!$B$4,9973)*7919+$A11*40289)*(9*104729+7919),99991)*100+9,999999999)</f>
        <v/>
      </c>
      <c r="AF11">
        <f>IF(AND($B11=1,L11&lt;&gt;"",ISNUMBER(FIND("*",L11))),MOD((MOD('ตารางเวร'!$B$4,9973)*7919+$A11*40289)*(10*104729+7919),99991)*100+10,999999999)</f>
        <v/>
      </c>
      <c r="AG11">
        <f>IF(AND($B11=1,M11&lt;&gt;"",ISNUMBER(FIND("*",M11))),MOD((MOD('ตารางเวร'!$B$4,9973)*7919+$A11*40289)*(11*104729+7919),99991)*100+11,999999999)</f>
        <v/>
      </c>
      <c r="AH11">
        <f>IF(AND($B11=1,N11&lt;&gt;"",ISNUMBER(FIND("*",N11))),MOD((MOD('ตารางเวร'!$B$4,9973)*7919+$A11*40289)*(12*104729+7919),99991)*100+12,999999999)</f>
        <v/>
      </c>
      <c r="AI11">
        <f>IF(AND($B11=1,O11&lt;&gt;"",ISNUMBER(FIND("*",O11))),MOD((MOD('ตารางเวร'!$B$4,9973)*7919+$A11*40289)*(13*104729+7919),99991)*100+13,999999999)</f>
        <v/>
      </c>
      <c r="AJ11">
        <f>IF(AND($B11=1,P11&lt;&gt;"",ISNUMBER(FIND("*",P11))),MOD((MOD('ตารางเวร'!$B$4,9973)*7919+$A11*40289)*(14*104729+7919),99991)*100+14,999999999)</f>
        <v/>
      </c>
      <c r="AK11">
        <f>IF(AND($B11=1,Q11&lt;&gt;"",ISNUMBER(FIND("*",Q11))),MOD((MOD('ตารางเวร'!$B$4,9973)*7919+$A11*40289)*(15*104729+7919),99991)*100+15,999999999)</f>
        <v/>
      </c>
      <c r="AL11">
        <f>IF(AND($B11=1,R11&lt;&gt;"",ISNUMBER(FIND("*",R11))),MOD((MOD('ตารางเวร'!$B$4,9973)*7919+$A11*40289)*(16*104729+7919),99991)*100+16,999999999)</f>
        <v/>
      </c>
      <c r="AM11">
        <f>IF(AND($B11=1,S11&lt;&gt;"",ISNUMBER(FIND("*",S11))),MOD((MOD('ตารางเวร'!$B$4,9973)*7919+$A11*40289)*(17*104729+7919),99991)*100+17,999999999)</f>
        <v/>
      </c>
      <c r="AN11">
        <f>IF(AND($B11=1,T11&lt;&gt;"",ISNUMBER(FIND("*",T11))),MOD((MOD('ตารางเวร'!$B$4,9973)*7919+$A11*40289)*(18*104729+7919),99991)*100+18,999999999)</f>
        <v/>
      </c>
      <c r="AO11">
        <f>IF(AND($B11=1,U11&lt;&gt;"",ISNUMBER(FIND("*",U11))),MOD((MOD('ตารางเวร'!$B$4,9973)*7919+$A11*40289)*(19*104729+7919),99991)*100+19,999999999)</f>
        <v/>
      </c>
      <c r="AP11">
        <f>IF(AND($B11=1,V11&lt;&gt;"",ISNUMBER(FIND("*",V11))),MOD((MOD('ตารางเวร'!$B$4,9973)*7919+$A11*40289)*(20*104729+7919),99991)*100+20,999999999)</f>
        <v/>
      </c>
      <c r="AQ11">
        <f>IF(TRIM('ตารางเวร'!$B$10)&lt;&gt;"",999999999,W11)</f>
        <v/>
      </c>
      <c r="AR11">
        <f>IF(TRIM('ตารางเวร'!$B$11)&lt;&gt;"",999999999,X11)</f>
        <v/>
      </c>
      <c r="AS11">
        <f>IF(TRIM('ตารางเวร'!$B$12)&lt;&gt;"",999999999,Y11)</f>
        <v/>
      </c>
      <c r="AT11">
        <f>IF(TRIM('ตารางเวร'!$B$13)&lt;&gt;"",999999999,Z11)</f>
        <v/>
      </c>
      <c r="AU11">
        <f>IF(TRIM('ตารางเวร'!$B$14)&lt;&gt;"",999999999,AA11)</f>
        <v/>
      </c>
      <c r="AV11">
        <f>IF(TRIM('ตารางเวร'!$B$15)&lt;&gt;"",999999999,AB11)</f>
        <v/>
      </c>
      <c r="AW11">
        <f>IF(TRIM('ตารางเวร'!$B$16)&lt;&gt;"",999999999,AC11)</f>
        <v/>
      </c>
      <c r="AX11">
        <f>IF(TRIM('ตารางเวร'!$B$17)&lt;&gt;"",999999999,AD11)</f>
        <v/>
      </c>
      <c r="AY11">
        <f>IF(TRIM('ตารางเวร'!$B$18)&lt;&gt;"",999999999,AE11)</f>
        <v/>
      </c>
      <c r="AZ11">
        <f>IF(TRIM('ตารางเวร'!$B$19)&lt;&gt;"",999999999,AF11)</f>
        <v/>
      </c>
      <c r="BA11">
        <f>IF(TRIM('ตารางเวร'!$B$20)&lt;&gt;"",999999999,AG11)</f>
        <v/>
      </c>
      <c r="BB11">
        <f>IF(TRIM('ตารางเวร'!$B$21)&lt;&gt;"",999999999,AH11)</f>
        <v/>
      </c>
      <c r="BC11">
        <f>IF(TRIM('ตารางเวร'!$B$22)&lt;&gt;"",999999999,AI11)</f>
        <v/>
      </c>
      <c r="BD11">
        <f>IF(TRIM('ตารางเวร'!$B$23)&lt;&gt;"",999999999,AJ11)</f>
        <v/>
      </c>
      <c r="BE11">
        <f>IF(TRIM('ตารางเวร'!$B$24)&lt;&gt;"",999999999,AK11)</f>
        <v/>
      </c>
      <c r="BF11">
        <f>IF(TRIM('ตารางเวร'!$B$25)&lt;&gt;"",999999999,AL11)</f>
        <v/>
      </c>
      <c r="BG11">
        <f>IF(TRIM('ตารางเวร'!$B$26)&lt;&gt;"",999999999,AM11)</f>
        <v/>
      </c>
      <c r="BH11">
        <f>IF(TRIM('ตารางเวร'!$B$27)&lt;&gt;"",999999999,AN11)</f>
        <v/>
      </c>
      <c r="BI11">
        <f>IF(TRIM('ตารางเวร'!$B$28)&lt;&gt;"",999999999,AO11)</f>
        <v/>
      </c>
      <c r="BJ11">
        <f>IF(TRIM('ตารางเวร'!$B$29)&lt;&gt;"",999999999,AP11)</f>
        <v/>
      </c>
      <c r="BK11">
        <f>IF(AND($B11=1,C11&lt;&gt;"",NOT(ISNUMBER(FIND("*",C11)))),1,999999)</f>
        <v/>
      </c>
      <c r="BL11">
        <f>IF(AND($B11=1,D11&lt;&gt;"",NOT(ISNUMBER(FIND("*",D11)))),2,999999)</f>
        <v/>
      </c>
      <c r="BM11">
        <f>IF(AND($B11=1,E11&lt;&gt;"",NOT(ISNUMBER(FIND("*",E11)))),3,999999)</f>
        <v/>
      </c>
      <c r="BN11">
        <f>IF(AND($B11=1,F11&lt;&gt;"",NOT(ISNUMBER(FIND("*",F11)))),4,999999)</f>
        <v/>
      </c>
      <c r="BO11">
        <f>IF(AND($B11=1,G11&lt;&gt;"",NOT(ISNUMBER(FIND("*",G11)))),5,999999)</f>
        <v/>
      </c>
      <c r="BP11">
        <f>IF(AND($B11=1,H11&lt;&gt;"",NOT(ISNUMBER(FIND("*",H11)))),6,999999)</f>
        <v/>
      </c>
      <c r="BQ11">
        <f>IF(AND($B11=1,I11&lt;&gt;"",NOT(ISNUMBER(FIND("*",I11)))),7,999999)</f>
        <v/>
      </c>
      <c r="BR11">
        <f>IF(AND($B11=1,J11&lt;&gt;"",NOT(ISNUMBER(FIND("*",J11)))),8,999999)</f>
        <v/>
      </c>
      <c r="BS11">
        <f>IF(AND($B11=1,K11&lt;&gt;"",NOT(ISNUMBER(FIND("*",K11)))),9,999999)</f>
        <v/>
      </c>
      <c r="BT11">
        <f>IF(AND($B11=1,L11&lt;&gt;"",NOT(ISNUMBER(FIND("*",L11)))),10,999999)</f>
        <v/>
      </c>
      <c r="BU11">
        <f>IF(AND($B11=1,M11&lt;&gt;"",NOT(ISNUMBER(FIND("*",M11)))),11,999999)</f>
        <v/>
      </c>
      <c r="BV11">
        <f>IF(AND($B11=1,N11&lt;&gt;"",NOT(ISNUMBER(FIND("*",N11)))),12,999999)</f>
        <v/>
      </c>
      <c r="BW11">
        <f>IF(AND($B11=1,O11&lt;&gt;"",NOT(ISNUMBER(FIND("*",O11)))),13,999999)</f>
        <v/>
      </c>
      <c r="BX11">
        <f>IF(AND($B11=1,P11&lt;&gt;"",NOT(ISNUMBER(FIND("*",P11)))),14,999999)</f>
        <v/>
      </c>
      <c r="BY11">
        <f>IF(AND($B11=1,Q11&lt;&gt;"",NOT(ISNUMBER(FIND("*",Q11)))),15,999999)</f>
        <v/>
      </c>
      <c r="BZ11">
        <f>IF(AND($B11=1,R11&lt;&gt;"",NOT(ISNUMBER(FIND("*",R11)))),16,999999)</f>
        <v/>
      </c>
      <c r="CA11">
        <f>IF(AND($B11=1,S11&lt;&gt;"",NOT(ISNUMBER(FIND("*",S11)))),17,999999)</f>
        <v/>
      </c>
      <c r="CB11">
        <f>IF(AND($B11=1,T11&lt;&gt;"",NOT(ISNUMBER(FIND("*",T11)))),18,999999)</f>
        <v/>
      </c>
      <c r="CC11">
        <f>IF(AND($B11=1,U11&lt;&gt;"",NOT(ISNUMBER(FIND("*",U11)))),19,999999)</f>
        <v/>
      </c>
      <c r="CD11">
        <f>IF(AND($B11=1,V11&lt;&gt;"",NOT(ISNUMBER(FIND("*",V11)))),20,999999)</f>
        <v/>
      </c>
      <c r="CE11">
        <f>IF(MIN(AQ11:BJ11)&gt;=999999999,0,MATCH(MIN(AQ11:BJ11),AQ11:BJ11,0))</f>
        <v/>
      </c>
      <c r="CF11">
        <f>IF($CE11=1,999999999,W11)</f>
        <v/>
      </c>
      <c r="CG11">
        <f>IF($CE11=2,999999999,X11)</f>
        <v/>
      </c>
      <c r="CH11">
        <f>IF($CE11=3,999999999,Y11)</f>
        <v/>
      </c>
      <c r="CI11">
        <f>IF($CE11=4,999999999,Z11)</f>
        <v/>
      </c>
      <c r="CJ11">
        <f>IF($CE11=5,999999999,AA11)</f>
        <v/>
      </c>
      <c r="CK11">
        <f>IF($CE11=6,999999999,AB11)</f>
        <v/>
      </c>
      <c r="CL11">
        <f>IF($CE11=7,999999999,AC11)</f>
        <v/>
      </c>
      <c r="CM11">
        <f>IF($CE11=8,999999999,AD11)</f>
        <v/>
      </c>
      <c r="CN11">
        <f>IF($CE11=9,999999999,AE11)</f>
        <v/>
      </c>
      <c r="CO11">
        <f>IF($CE11=10,999999999,AF11)</f>
        <v/>
      </c>
      <c r="CP11">
        <f>IF($CE11=11,999999999,AG11)</f>
        <v/>
      </c>
      <c r="CQ11">
        <f>IF($CE11=12,999999999,AH11)</f>
        <v/>
      </c>
      <c r="CR11">
        <f>IF($CE11=13,999999999,AI11)</f>
        <v/>
      </c>
      <c r="CS11">
        <f>IF($CE11=14,999999999,AJ11)</f>
        <v/>
      </c>
      <c r="CT11">
        <f>IF($CE11=15,999999999,AK11)</f>
        <v/>
      </c>
      <c r="CU11">
        <f>IF($CE11=16,999999999,AL11)</f>
        <v/>
      </c>
      <c r="CV11">
        <f>IF($CE11=17,999999999,AM11)</f>
        <v/>
      </c>
      <c r="CW11">
        <f>IF($CE11=18,999999999,AN11)</f>
        <v/>
      </c>
      <c r="CX11">
        <f>IF($CE11=19,999999999,AO11)</f>
        <v/>
      </c>
      <c r="CY11">
        <f>IF($CE11=20,999999999,AP11)</f>
        <v/>
      </c>
      <c r="CZ11">
        <f>COUNTIF(W11:AP11,"&lt;999999999")</f>
        <v/>
      </c>
      <c r="DA11">
        <f>COUNTIF(BK11:CD11,"&lt;999999")</f>
        <v/>
      </c>
      <c r="DB11">
        <f>$CZ11-IF($CE11&gt;0,1,0)</f>
        <v/>
      </c>
      <c r="DC11">
        <f>IF(OR($B11=0,C11=""),0,DC10+1)</f>
        <v/>
      </c>
      <c r="DD11">
        <f>IF(OR($B11=0,D11=""),0,DD10+1)</f>
        <v/>
      </c>
      <c r="DE11">
        <f>IF(OR($B11=0,E11=""),0,DE10+1)</f>
        <v/>
      </c>
      <c r="DF11">
        <f>IF(OR($B11=0,F11=""),0,DF10+1)</f>
        <v/>
      </c>
      <c r="DG11">
        <f>IF(OR($B11=0,G11=""),0,DG10+1)</f>
        <v/>
      </c>
      <c r="DH11">
        <f>IF(OR($B11=0,H11=""),0,DH10+1)</f>
        <v/>
      </c>
      <c r="DI11">
        <f>IF(OR($B11=0,I11=""),0,DI10+1)</f>
        <v/>
      </c>
      <c r="DJ11">
        <f>IF(OR($B11=0,J11=""),0,DJ10+1)</f>
        <v/>
      </c>
      <c r="DK11">
        <f>IF(OR($B11=0,K11=""),0,DK10+1)</f>
        <v/>
      </c>
      <c r="DL11">
        <f>IF(OR($B11=0,L11=""),0,DL10+1)</f>
        <v/>
      </c>
      <c r="DM11">
        <f>IF(OR($B11=0,M11=""),0,DM10+1)</f>
        <v/>
      </c>
      <c r="DN11">
        <f>IF(OR($B11=0,N11=""),0,DN10+1)</f>
        <v/>
      </c>
      <c r="DO11">
        <f>IF(OR($B11=0,O11=""),0,DO10+1)</f>
        <v/>
      </c>
      <c r="DP11">
        <f>IF(OR($B11=0,P11=""),0,DP10+1)</f>
        <v/>
      </c>
      <c r="DQ11">
        <f>IF(OR($B11=0,Q11=""),0,DQ10+1)</f>
        <v/>
      </c>
      <c r="DR11">
        <f>IF(OR($B11=0,R11=""),0,DR10+1)</f>
        <v/>
      </c>
      <c r="DS11">
        <f>IF(OR($B11=0,S11=""),0,DS10+1)</f>
        <v/>
      </c>
      <c r="DT11">
        <f>IF(OR($B11=0,T11=""),0,DT10+1)</f>
        <v/>
      </c>
      <c r="DU11">
        <f>IF(OR($B11=0,U11=""),0,DU10+1)</f>
        <v/>
      </c>
      <c r="DV11">
        <f>IF(OR($B11=0,V11=""),0,DV10+1)</f>
        <v/>
      </c>
      <c r="DW11">
        <f>'ตารางเวร'!K$7</f>
        <v/>
      </c>
      <c r="DX11">
        <f>IF($B11=0,0,IF(WEEKDAY('ตารางเวร'!K$6,2)=IFERROR(MATCH('ตารางเวร'!$AM$11,'ตารางเวร'!$AO$10:$AO$17,0),0),1,0))</f>
        <v/>
      </c>
    </row>
    <row r="12">
      <c r="A12" t="n">
        <v>10</v>
      </c>
      <c r="B12">
        <f>IF(10&gt;DAY(EOMONTH(DATE('ตารางเวร'!$B$3-543,'ตารางเวร'!$B$2,1),0)),0,1)</f>
        <v/>
      </c>
      <c r="C12">
        <f>IF($B12=0,"",IFERROR(TRIM(INDEX('ตารางเวร'!$C$10:$AG$29,1,$A12)),""))</f>
        <v/>
      </c>
      <c r="D12">
        <f>IF($B12=0,"",IFERROR(TRIM(INDEX('ตารางเวร'!$C$10:$AG$29,2,$A12)),""))</f>
        <v/>
      </c>
      <c r="E12">
        <f>IF($B12=0,"",IFERROR(TRIM(INDEX('ตารางเวร'!$C$10:$AG$29,3,$A12)),""))</f>
        <v/>
      </c>
      <c r="F12">
        <f>IF($B12=0,"",IFERROR(TRIM(INDEX('ตารางเวร'!$C$10:$AG$29,4,$A12)),""))</f>
        <v/>
      </c>
      <c r="G12">
        <f>IF($B12=0,"",IFERROR(TRIM(INDEX('ตารางเวร'!$C$10:$AG$29,5,$A12)),""))</f>
        <v/>
      </c>
      <c r="H12">
        <f>IF($B12=0,"",IFERROR(TRIM(INDEX('ตารางเวร'!$C$10:$AG$29,6,$A12)),""))</f>
        <v/>
      </c>
      <c r="I12">
        <f>IF($B12=0,"",IFERROR(TRIM(INDEX('ตารางเวร'!$C$10:$AG$29,7,$A12)),""))</f>
        <v/>
      </c>
      <c r="J12">
        <f>IF($B12=0,"",IFERROR(TRIM(INDEX('ตารางเวร'!$C$10:$AG$29,8,$A12)),""))</f>
        <v/>
      </c>
      <c r="K12">
        <f>IF($B12=0,"",IFERROR(TRIM(INDEX('ตารางเวร'!$C$10:$AG$29,9,$A12)),""))</f>
        <v/>
      </c>
      <c r="L12">
        <f>IF($B12=0,"",IFERROR(TRIM(INDEX('ตารางเวร'!$C$10:$AG$29,10,$A12)),""))</f>
        <v/>
      </c>
      <c r="M12">
        <f>IF($B12=0,"",IFERROR(TRIM(INDEX('ตารางเวร'!$C$10:$AG$29,11,$A12)),""))</f>
        <v/>
      </c>
      <c r="N12">
        <f>IF($B12=0,"",IFERROR(TRIM(INDEX('ตารางเวร'!$C$10:$AG$29,12,$A12)),""))</f>
        <v/>
      </c>
      <c r="O12">
        <f>IF($B12=0,"",IFERROR(TRIM(INDEX('ตารางเวร'!$C$10:$AG$29,13,$A12)),""))</f>
        <v/>
      </c>
      <c r="P12">
        <f>IF($B12=0,"",IFERROR(TRIM(INDEX('ตารางเวร'!$C$10:$AG$29,14,$A12)),""))</f>
        <v/>
      </c>
      <c r="Q12">
        <f>IF($B12=0,"",IFERROR(TRIM(INDEX('ตารางเวร'!$C$10:$AG$29,15,$A12)),""))</f>
        <v/>
      </c>
      <c r="R12">
        <f>IF($B12=0,"",IFERROR(TRIM(INDEX('ตารางเวร'!$C$10:$AG$29,16,$A12)),""))</f>
        <v/>
      </c>
      <c r="S12">
        <f>IF($B12=0,"",IFERROR(TRIM(INDEX('ตารางเวร'!$C$10:$AG$29,17,$A12)),""))</f>
        <v/>
      </c>
      <c r="T12">
        <f>IF($B12=0,"",IFERROR(TRIM(INDEX('ตารางเวร'!$C$10:$AG$29,18,$A12)),""))</f>
        <v/>
      </c>
      <c r="U12">
        <f>IF($B12=0,"",IFERROR(TRIM(INDEX('ตารางเวร'!$C$10:$AG$29,19,$A12)),""))</f>
        <v/>
      </c>
      <c r="V12">
        <f>IF($B12=0,"",IFERROR(TRIM(INDEX('ตารางเวร'!$C$10:$AG$29,20,$A12)),""))</f>
        <v/>
      </c>
      <c r="W12">
        <f>IF(AND($B12=1,C12&lt;&gt;"",ISNUMBER(FIND("*",C12))),MOD((MOD('ตารางเวร'!$B$4,9973)*7919+$A12*40289)*(1*104729+7919),99991)*100+1,999999999)</f>
        <v/>
      </c>
      <c r="X12">
        <f>IF(AND($B12=1,D12&lt;&gt;"",ISNUMBER(FIND("*",D12))),MOD((MOD('ตารางเวร'!$B$4,9973)*7919+$A12*40289)*(2*104729+7919),99991)*100+2,999999999)</f>
        <v/>
      </c>
      <c r="Y12">
        <f>IF(AND($B12=1,E12&lt;&gt;"",ISNUMBER(FIND("*",E12))),MOD((MOD('ตารางเวร'!$B$4,9973)*7919+$A12*40289)*(3*104729+7919),99991)*100+3,999999999)</f>
        <v/>
      </c>
      <c r="Z12">
        <f>IF(AND($B12=1,F12&lt;&gt;"",ISNUMBER(FIND("*",F12))),MOD((MOD('ตารางเวร'!$B$4,9973)*7919+$A12*40289)*(4*104729+7919),99991)*100+4,999999999)</f>
        <v/>
      </c>
      <c r="AA12">
        <f>IF(AND($B12=1,G12&lt;&gt;"",ISNUMBER(FIND("*",G12))),MOD((MOD('ตารางเวร'!$B$4,9973)*7919+$A12*40289)*(5*104729+7919),99991)*100+5,999999999)</f>
        <v/>
      </c>
      <c r="AB12">
        <f>IF(AND($B12=1,H12&lt;&gt;"",ISNUMBER(FIND("*",H12))),MOD((MOD('ตารางเวร'!$B$4,9973)*7919+$A12*40289)*(6*104729+7919),99991)*100+6,999999999)</f>
        <v/>
      </c>
      <c r="AC12">
        <f>IF(AND($B12=1,I12&lt;&gt;"",ISNUMBER(FIND("*",I12))),MOD((MOD('ตารางเวร'!$B$4,9973)*7919+$A12*40289)*(7*104729+7919),99991)*100+7,999999999)</f>
        <v/>
      </c>
      <c r="AD12">
        <f>IF(AND($B12=1,J12&lt;&gt;"",ISNUMBER(FIND("*",J12))),MOD((MOD('ตารางเวร'!$B$4,9973)*7919+$A12*40289)*(8*104729+7919),99991)*100+8,999999999)</f>
        <v/>
      </c>
      <c r="AE12">
        <f>IF(AND($B12=1,K12&lt;&gt;"",ISNUMBER(FIND("*",K12))),MOD((MOD('ตารางเวร'!$B$4,9973)*7919+$A12*40289)*(9*104729+7919),99991)*100+9,999999999)</f>
        <v/>
      </c>
      <c r="AF12">
        <f>IF(AND($B12=1,L12&lt;&gt;"",ISNUMBER(FIND("*",L12))),MOD((MOD('ตารางเวร'!$B$4,9973)*7919+$A12*40289)*(10*104729+7919),99991)*100+10,999999999)</f>
        <v/>
      </c>
      <c r="AG12">
        <f>IF(AND($B12=1,M12&lt;&gt;"",ISNUMBER(FIND("*",M12))),MOD((MOD('ตารางเวร'!$B$4,9973)*7919+$A12*40289)*(11*104729+7919),99991)*100+11,999999999)</f>
        <v/>
      </c>
      <c r="AH12">
        <f>IF(AND($B12=1,N12&lt;&gt;"",ISNUMBER(FIND("*",N12))),MOD((MOD('ตารางเวร'!$B$4,9973)*7919+$A12*40289)*(12*104729+7919),99991)*100+12,999999999)</f>
        <v/>
      </c>
      <c r="AI12">
        <f>IF(AND($B12=1,O12&lt;&gt;"",ISNUMBER(FIND("*",O12))),MOD((MOD('ตารางเวร'!$B$4,9973)*7919+$A12*40289)*(13*104729+7919),99991)*100+13,999999999)</f>
        <v/>
      </c>
      <c r="AJ12">
        <f>IF(AND($B12=1,P12&lt;&gt;"",ISNUMBER(FIND("*",P12))),MOD((MOD('ตารางเวร'!$B$4,9973)*7919+$A12*40289)*(14*104729+7919),99991)*100+14,999999999)</f>
        <v/>
      </c>
      <c r="AK12">
        <f>IF(AND($B12=1,Q12&lt;&gt;"",ISNUMBER(FIND("*",Q12))),MOD((MOD('ตารางเวร'!$B$4,9973)*7919+$A12*40289)*(15*104729+7919),99991)*100+15,999999999)</f>
        <v/>
      </c>
      <c r="AL12">
        <f>IF(AND($B12=1,R12&lt;&gt;"",ISNUMBER(FIND("*",R12))),MOD((MOD('ตารางเวร'!$B$4,9973)*7919+$A12*40289)*(16*104729+7919),99991)*100+16,999999999)</f>
        <v/>
      </c>
      <c r="AM12">
        <f>IF(AND($B12=1,S12&lt;&gt;"",ISNUMBER(FIND("*",S12))),MOD((MOD('ตารางเวร'!$B$4,9973)*7919+$A12*40289)*(17*104729+7919),99991)*100+17,999999999)</f>
        <v/>
      </c>
      <c r="AN12">
        <f>IF(AND($B12=1,T12&lt;&gt;"",ISNUMBER(FIND("*",T12))),MOD((MOD('ตารางเวร'!$B$4,9973)*7919+$A12*40289)*(18*104729+7919),99991)*100+18,999999999)</f>
        <v/>
      </c>
      <c r="AO12">
        <f>IF(AND($B12=1,U12&lt;&gt;"",ISNUMBER(FIND("*",U12))),MOD((MOD('ตารางเวร'!$B$4,9973)*7919+$A12*40289)*(19*104729+7919),99991)*100+19,999999999)</f>
        <v/>
      </c>
      <c r="AP12">
        <f>IF(AND($B12=1,V12&lt;&gt;"",ISNUMBER(FIND("*",V12))),MOD((MOD('ตารางเวร'!$B$4,9973)*7919+$A12*40289)*(20*104729+7919),99991)*100+20,999999999)</f>
        <v/>
      </c>
      <c r="AQ12">
        <f>IF(TRIM('ตารางเวร'!$B$10)&lt;&gt;"",999999999,W12)</f>
        <v/>
      </c>
      <c r="AR12">
        <f>IF(TRIM('ตารางเวร'!$B$11)&lt;&gt;"",999999999,X12)</f>
        <v/>
      </c>
      <c r="AS12">
        <f>IF(TRIM('ตารางเวร'!$B$12)&lt;&gt;"",999999999,Y12)</f>
        <v/>
      </c>
      <c r="AT12">
        <f>IF(TRIM('ตารางเวร'!$B$13)&lt;&gt;"",999999999,Z12)</f>
        <v/>
      </c>
      <c r="AU12">
        <f>IF(TRIM('ตารางเวร'!$B$14)&lt;&gt;"",999999999,AA12)</f>
        <v/>
      </c>
      <c r="AV12">
        <f>IF(TRIM('ตารางเวร'!$B$15)&lt;&gt;"",999999999,AB12)</f>
        <v/>
      </c>
      <c r="AW12">
        <f>IF(TRIM('ตารางเวร'!$B$16)&lt;&gt;"",999999999,AC12)</f>
        <v/>
      </c>
      <c r="AX12">
        <f>IF(TRIM('ตารางเวร'!$B$17)&lt;&gt;"",999999999,AD12)</f>
        <v/>
      </c>
      <c r="AY12">
        <f>IF(TRIM('ตารางเวร'!$B$18)&lt;&gt;"",999999999,AE12)</f>
        <v/>
      </c>
      <c r="AZ12">
        <f>IF(TRIM('ตารางเวร'!$B$19)&lt;&gt;"",999999999,AF12)</f>
        <v/>
      </c>
      <c r="BA12">
        <f>IF(TRIM('ตารางเวร'!$B$20)&lt;&gt;"",999999999,AG12)</f>
        <v/>
      </c>
      <c r="BB12">
        <f>IF(TRIM('ตารางเวร'!$B$21)&lt;&gt;"",999999999,AH12)</f>
        <v/>
      </c>
      <c r="BC12">
        <f>IF(TRIM('ตารางเวร'!$B$22)&lt;&gt;"",999999999,AI12)</f>
        <v/>
      </c>
      <c r="BD12">
        <f>IF(TRIM('ตารางเวร'!$B$23)&lt;&gt;"",999999999,AJ12)</f>
        <v/>
      </c>
      <c r="BE12">
        <f>IF(TRIM('ตารางเวร'!$B$24)&lt;&gt;"",999999999,AK12)</f>
        <v/>
      </c>
      <c r="BF12">
        <f>IF(TRIM('ตารางเวร'!$B$25)&lt;&gt;"",999999999,AL12)</f>
        <v/>
      </c>
      <c r="BG12">
        <f>IF(TRIM('ตารางเวร'!$B$26)&lt;&gt;"",999999999,AM12)</f>
        <v/>
      </c>
      <c r="BH12">
        <f>IF(TRIM('ตารางเวร'!$B$27)&lt;&gt;"",999999999,AN12)</f>
        <v/>
      </c>
      <c r="BI12">
        <f>IF(TRIM('ตารางเวร'!$B$28)&lt;&gt;"",999999999,AO12)</f>
        <v/>
      </c>
      <c r="BJ12">
        <f>IF(TRIM('ตารางเวร'!$B$29)&lt;&gt;"",999999999,AP12)</f>
        <v/>
      </c>
      <c r="BK12">
        <f>IF(AND($B12=1,C12&lt;&gt;"",NOT(ISNUMBER(FIND("*",C12)))),1,999999)</f>
        <v/>
      </c>
      <c r="BL12">
        <f>IF(AND($B12=1,D12&lt;&gt;"",NOT(ISNUMBER(FIND("*",D12)))),2,999999)</f>
        <v/>
      </c>
      <c r="BM12">
        <f>IF(AND($B12=1,E12&lt;&gt;"",NOT(ISNUMBER(FIND("*",E12)))),3,999999)</f>
        <v/>
      </c>
      <c r="BN12">
        <f>IF(AND($B12=1,F12&lt;&gt;"",NOT(ISNUMBER(FIND("*",F12)))),4,999999)</f>
        <v/>
      </c>
      <c r="BO12">
        <f>IF(AND($B12=1,G12&lt;&gt;"",NOT(ISNUMBER(FIND("*",G12)))),5,999999)</f>
        <v/>
      </c>
      <c r="BP12">
        <f>IF(AND($B12=1,H12&lt;&gt;"",NOT(ISNUMBER(FIND("*",H12)))),6,999999)</f>
        <v/>
      </c>
      <c r="BQ12">
        <f>IF(AND($B12=1,I12&lt;&gt;"",NOT(ISNUMBER(FIND("*",I12)))),7,999999)</f>
        <v/>
      </c>
      <c r="BR12">
        <f>IF(AND($B12=1,J12&lt;&gt;"",NOT(ISNUMBER(FIND("*",J12)))),8,999999)</f>
        <v/>
      </c>
      <c r="BS12">
        <f>IF(AND($B12=1,K12&lt;&gt;"",NOT(ISNUMBER(FIND("*",K12)))),9,999999)</f>
        <v/>
      </c>
      <c r="BT12">
        <f>IF(AND($B12=1,L12&lt;&gt;"",NOT(ISNUMBER(FIND("*",L12)))),10,999999)</f>
        <v/>
      </c>
      <c r="BU12">
        <f>IF(AND($B12=1,M12&lt;&gt;"",NOT(ISNUMBER(FIND("*",M12)))),11,999999)</f>
        <v/>
      </c>
      <c r="BV12">
        <f>IF(AND($B12=1,N12&lt;&gt;"",NOT(ISNUMBER(FIND("*",N12)))),12,999999)</f>
        <v/>
      </c>
      <c r="BW12">
        <f>IF(AND($B12=1,O12&lt;&gt;"",NOT(ISNUMBER(FIND("*",O12)))),13,999999)</f>
        <v/>
      </c>
      <c r="BX12">
        <f>IF(AND($B12=1,P12&lt;&gt;"",NOT(ISNUMBER(FIND("*",P12)))),14,999999)</f>
        <v/>
      </c>
      <c r="BY12">
        <f>IF(AND($B12=1,Q12&lt;&gt;"",NOT(ISNUMBER(FIND("*",Q12)))),15,999999)</f>
        <v/>
      </c>
      <c r="BZ12">
        <f>IF(AND($B12=1,R12&lt;&gt;"",NOT(ISNUMBER(FIND("*",R12)))),16,999999)</f>
        <v/>
      </c>
      <c r="CA12">
        <f>IF(AND($B12=1,S12&lt;&gt;"",NOT(ISNUMBER(FIND("*",S12)))),17,999999)</f>
        <v/>
      </c>
      <c r="CB12">
        <f>IF(AND($B12=1,T12&lt;&gt;"",NOT(ISNUMBER(FIND("*",T12)))),18,999999)</f>
        <v/>
      </c>
      <c r="CC12">
        <f>IF(AND($B12=1,U12&lt;&gt;"",NOT(ISNUMBER(FIND("*",U12)))),19,999999)</f>
        <v/>
      </c>
      <c r="CD12">
        <f>IF(AND($B12=1,V12&lt;&gt;"",NOT(ISNUMBER(FIND("*",V12)))),20,999999)</f>
        <v/>
      </c>
      <c r="CE12">
        <f>IF(MIN(AQ12:BJ12)&gt;=999999999,0,MATCH(MIN(AQ12:BJ12),AQ12:BJ12,0))</f>
        <v/>
      </c>
      <c r="CF12">
        <f>IF($CE12=1,999999999,W12)</f>
        <v/>
      </c>
      <c r="CG12">
        <f>IF($CE12=2,999999999,X12)</f>
        <v/>
      </c>
      <c r="CH12">
        <f>IF($CE12=3,999999999,Y12)</f>
        <v/>
      </c>
      <c r="CI12">
        <f>IF($CE12=4,999999999,Z12)</f>
        <v/>
      </c>
      <c r="CJ12">
        <f>IF($CE12=5,999999999,AA12)</f>
        <v/>
      </c>
      <c r="CK12">
        <f>IF($CE12=6,999999999,AB12)</f>
        <v/>
      </c>
      <c r="CL12">
        <f>IF($CE12=7,999999999,AC12)</f>
        <v/>
      </c>
      <c r="CM12">
        <f>IF($CE12=8,999999999,AD12)</f>
        <v/>
      </c>
      <c r="CN12">
        <f>IF($CE12=9,999999999,AE12)</f>
        <v/>
      </c>
      <c r="CO12">
        <f>IF($CE12=10,999999999,AF12)</f>
        <v/>
      </c>
      <c r="CP12">
        <f>IF($CE12=11,999999999,AG12)</f>
        <v/>
      </c>
      <c r="CQ12">
        <f>IF($CE12=12,999999999,AH12)</f>
        <v/>
      </c>
      <c r="CR12">
        <f>IF($CE12=13,999999999,AI12)</f>
        <v/>
      </c>
      <c r="CS12">
        <f>IF($CE12=14,999999999,AJ12)</f>
        <v/>
      </c>
      <c r="CT12">
        <f>IF($CE12=15,999999999,AK12)</f>
        <v/>
      </c>
      <c r="CU12">
        <f>IF($CE12=16,999999999,AL12)</f>
        <v/>
      </c>
      <c r="CV12">
        <f>IF($CE12=17,999999999,AM12)</f>
        <v/>
      </c>
      <c r="CW12">
        <f>IF($CE12=18,999999999,AN12)</f>
        <v/>
      </c>
      <c r="CX12">
        <f>IF($CE12=19,999999999,AO12)</f>
        <v/>
      </c>
      <c r="CY12">
        <f>IF($CE12=20,999999999,AP12)</f>
        <v/>
      </c>
      <c r="CZ12">
        <f>COUNTIF(W12:AP12,"&lt;999999999")</f>
        <v/>
      </c>
      <c r="DA12">
        <f>COUNTIF(BK12:CD12,"&lt;999999")</f>
        <v/>
      </c>
      <c r="DB12">
        <f>$CZ12-IF($CE12&gt;0,1,0)</f>
        <v/>
      </c>
      <c r="DC12">
        <f>IF(OR($B12=0,C12=""),0,DC11+1)</f>
        <v/>
      </c>
      <c r="DD12">
        <f>IF(OR($B12=0,D12=""),0,DD11+1)</f>
        <v/>
      </c>
      <c r="DE12">
        <f>IF(OR($B12=0,E12=""),0,DE11+1)</f>
        <v/>
      </c>
      <c r="DF12">
        <f>IF(OR($B12=0,F12=""),0,DF11+1)</f>
        <v/>
      </c>
      <c r="DG12">
        <f>IF(OR($B12=0,G12=""),0,DG11+1)</f>
        <v/>
      </c>
      <c r="DH12">
        <f>IF(OR($B12=0,H12=""),0,DH11+1)</f>
        <v/>
      </c>
      <c r="DI12">
        <f>IF(OR($B12=0,I12=""),0,DI11+1)</f>
        <v/>
      </c>
      <c r="DJ12">
        <f>IF(OR($B12=0,J12=""),0,DJ11+1)</f>
        <v/>
      </c>
      <c r="DK12">
        <f>IF(OR($B12=0,K12=""),0,DK11+1)</f>
        <v/>
      </c>
      <c r="DL12">
        <f>IF(OR($B12=0,L12=""),0,DL11+1)</f>
        <v/>
      </c>
      <c r="DM12">
        <f>IF(OR($B12=0,M12=""),0,DM11+1)</f>
        <v/>
      </c>
      <c r="DN12">
        <f>IF(OR($B12=0,N12=""),0,DN11+1)</f>
        <v/>
      </c>
      <c r="DO12">
        <f>IF(OR($B12=0,O12=""),0,DO11+1)</f>
        <v/>
      </c>
      <c r="DP12">
        <f>IF(OR($B12=0,P12=""),0,DP11+1)</f>
        <v/>
      </c>
      <c r="DQ12">
        <f>IF(OR($B12=0,Q12=""),0,DQ11+1)</f>
        <v/>
      </c>
      <c r="DR12">
        <f>IF(OR($B12=0,R12=""),0,DR11+1)</f>
        <v/>
      </c>
      <c r="DS12">
        <f>IF(OR($B12=0,S12=""),0,DS11+1)</f>
        <v/>
      </c>
      <c r="DT12">
        <f>IF(OR($B12=0,T12=""),0,DT11+1)</f>
        <v/>
      </c>
      <c r="DU12">
        <f>IF(OR($B12=0,U12=""),0,DU11+1)</f>
        <v/>
      </c>
      <c r="DV12">
        <f>IF(OR($B12=0,V12=""),0,DV11+1)</f>
        <v/>
      </c>
      <c r="DW12">
        <f>'ตารางเวร'!L$7</f>
        <v/>
      </c>
      <c r="DX12">
        <f>IF($B12=0,0,IF(WEEKDAY('ตารางเวร'!L$6,2)=IFERROR(MATCH('ตารางเวร'!$AM$11,'ตารางเวร'!$AO$10:$AO$17,0),0),1,0))</f>
        <v/>
      </c>
    </row>
    <row r="13">
      <c r="A13" t="n">
        <v>11</v>
      </c>
      <c r="B13">
        <f>IF(11&gt;DAY(EOMONTH(DATE('ตารางเวร'!$B$3-543,'ตารางเวร'!$B$2,1),0)),0,1)</f>
        <v/>
      </c>
      <c r="C13">
        <f>IF($B13=0,"",IFERROR(TRIM(INDEX('ตารางเวร'!$C$10:$AG$29,1,$A13)),""))</f>
        <v/>
      </c>
      <c r="D13">
        <f>IF($B13=0,"",IFERROR(TRIM(INDEX('ตารางเวร'!$C$10:$AG$29,2,$A13)),""))</f>
        <v/>
      </c>
      <c r="E13">
        <f>IF($B13=0,"",IFERROR(TRIM(INDEX('ตารางเวร'!$C$10:$AG$29,3,$A13)),""))</f>
        <v/>
      </c>
      <c r="F13">
        <f>IF($B13=0,"",IFERROR(TRIM(INDEX('ตารางเวร'!$C$10:$AG$29,4,$A13)),""))</f>
        <v/>
      </c>
      <c r="G13">
        <f>IF($B13=0,"",IFERROR(TRIM(INDEX('ตารางเวร'!$C$10:$AG$29,5,$A13)),""))</f>
        <v/>
      </c>
      <c r="H13">
        <f>IF($B13=0,"",IFERROR(TRIM(INDEX('ตารางเวร'!$C$10:$AG$29,6,$A13)),""))</f>
        <v/>
      </c>
      <c r="I13">
        <f>IF($B13=0,"",IFERROR(TRIM(INDEX('ตารางเวร'!$C$10:$AG$29,7,$A13)),""))</f>
        <v/>
      </c>
      <c r="J13">
        <f>IF($B13=0,"",IFERROR(TRIM(INDEX('ตารางเวร'!$C$10:$AG$29,8,$A13)),""))</f>
        <v/>
      </c>
      <c r="K13">
        <f>IF($B13=0,"",IFERROR(TRIM(INDEX('ตารางเวร'!$C$10:$AG$29,9,$A13)),""))</f>
        <v/>
      </c>
      <c r="L13">
        <f>IF($B13=0,"",IFERROR(TRIM(INDEX('ตารางเวร'!$C$10:$AG$29,10,$A13)),""))</f>
        <v/>
      </c>
      <c r="M13">
        <f>IF($B13=0,"",IFERROR(TRIM(INDEX('ตารางเวร'!$C$10:$AG$29,11,$A13)),""))</f>
        <v/>
      </c>
      <c r="N13">
        <f>IF($B13=0,"",IFERROR(TRIM(INDEX('ตารางเวร'!$C$10:$AG$29,12,$A13)),""))</f>
        <v/>
      </c>
      <c r="O13">
        <f>IF($B13=0,"",IFERROR(TRIM(INDEX('ตารางเวร'!$C$10:$AG$29,13,$A13)),""))</f>
        <v/>
      </c>
      <c r="P13">
        <f>IF($B13=0,"",IFERROR(TRIM(INDEX('ตารางเวร'!$C$10:$AG$29,14,$A13)),""))</f>
        <v/>
      </c>
      <c r="Q13">
        <f>IF($B13=0,"",IFERROR(TRIM(INDEX('ตารางเวร'!$C$10:$AG$29,15,$A13)),""))</f>
        <v/>
      </c>
      <c r="R13">
        <f>IF($B13=0,"",IFERROR(TRIM(INDEX('ตารางเวร'!$C$10:$AG$29,16,$A13)),""))</f>
        <v/>
      </c>
      <c r="S13">
        <f>IF($B13=0,"",IFERROR(TRIM(INDEX('ตารางเวร'!$C$10:$AG$29,17,$A13)),""))</f>
        <v/>
      </c>
      <c r="T13">
        <f>IF($B13=0,"",IFERROR(TRIM(INDEX('ตารางเวร'!$C$10:$AG$29,18,$A13)),""))</f>
        <v/>
      </c>
      <c r="U13">
        <f>IF($B13=0,"",IFERROR(TRIM(INDEX('ตารางเวร'!$C$10:$AG$29,19,$A13)),""))</f>
        <v/>
      </c>
      <c r="V13">
        <f>IF($B13=0,"",IFERROR(TRIM(INDEX('ตารางเวร'!$C$10:$AG$29,20,$A13)),""))</f>
        <v/>
      </c>
      <c r="W13">
        <f>IF(AND($B13=1,C13&lt;&gt;"",ISNUMBER(FIND("*",C13))),MOD((MOD('ตารางเวร'!$B$4,9973)*7919+$A13*40289)*(1*104729+7919),99991)*100+1,999999999)</f>
        <v/>
      </c>
      <c r="X13">
        <f>IF(AND($B13=1,D13&lt;&gt;"",ISNUMBER(FIND("*",D13))),MOD((MOD('ตารางเวร'!$B$4,9973)*7919+$A13*40289)*(2*104729+7919),99991)*100+2,999999999)</f>
        <v/>
      </c>
      <c r="Y13">
        <f>IF(AND($B13=1,E13&lt;&gt;"",ISNUMBER(FIND("*",E13))),MOD((MOD('ตารางเวร'!$B$4,9973)*7919+$A13*40289)*(3*104729+7919),99991)*100+3,999999999)</f>
        <v/>
      </c>
      <c r="Z13">
        <f>IF(AND($B13=1,F13&lt;&gt;"",ISNUMBER(FIND("*",F13))),MOD((MOD('ตารางเวร'!$B$4,9973)*7919+$A13*40289)*(4*104729+7919),99991)*100+4,999999999)</f>
        <v/>
      </c>
      <c r="AA13">
        <f>IF(AND($B13=1,G13&lt;&gt;"",ISNUMBER(FIND("*",G13))),MOD((MOD('ตารางเวร'!$B$4,9973)*7919+$A13*40289)*(5*104729+7919),99991)*100+5,999999999)</f>
        <v/>
      </c>
      <c r="AB13">
        <f>IF(AND($B13=1,H13&lt;&gt;"",ISNUMBER(FIND("*",H13))),MOD((MOD('ตารางเวร'!$B$4,9973)*7919+$A13*40289)*(6*104729+7919),99991)*100+6,999999999)</f>
        <v/>
      </c>
      <c r="AC13">
        <f>IF(AND($B13=1,I13&lt;&gt;"",ISNUMBER(FIND("*",I13))),MOD((MOD('ตารางเวร'!$B$4,9973)*7919+$A13*40289)*(7*104729+7919),99991)*100+7,999999999)</f>
        <v/>
      </c>
      <c r="AD13">
        <f>IF(AND($B13=1,J13&lt;&gt;"",ISNUMBER(FIND("*",J13))),MOD((MOD('ตารางเวร'!$B$4,9973)*7919+$A13*40289)*(8*104729+7919),99991)*100+8,999999999)</f>
        <v/>
      </c>
      <c r="AE13">
        <f>IF(AND($B13=1,K13&lt;&gt;"",ISNUMBER(FIND("*",K13))),MOD((MOD('ตารางเวร'!$B$4,9973)*7919+$A13*40289)*(9*104729+7919),99991)*100+9,999999999)</f>
        <v/>
      </c>
      <c r="AF13">
        <f>IF(AND($B13=1,L13&lt;&gt;"",ISNUMBER(FIND("*",L13))),MOD((MOD('ตารางเวร'!$B$4,9973)*7919+$A13*40289)*(10*104729+7919),99991)*100+10,999999999)</f>
        <v/>
      </c>
      <c r="AG13">
        <f>IF(AND($B13=1,M13&lt;&gt;"",ISNUMBER(FIND("*",M13))),MOD((MOD('ตารางเวร'!$B$4,9973)*7919+$A13*40289)*(11*104729+7919),99991)*100+11,999999999)</f>
        <v/>
      </c>
      <c r="AH13">
        <f>IF(AND($B13=1,N13&lt;&gt;"",ISNUMBER(FIND("*",N13))),MOD((MOD('ตารางเวร'!$B$4,9973)*7919+$A13*40289)*(12*104729+7919),99991)*100+12,999999999)</f>
        <v/>
      </c>
      <c r="AI13">
        <f>IF(AND($B13=1,O13&lt;&gt;"",ISNUMBER(FIND("*",O13))),MOD((MOD('ตารางเวร'!$B$4,9973)*7919+$A13*40289)*(13*104729+7919),99991)*100+13,999999999)</f>
        <v/>
      </c>
      <c r="AJ13">
        <f>IF(AND($B13=1,P13&lt;&gt;"",ISNUMBER(FIND("*",P13))),MOD((MOD('ตารางเวร'!$B$4,9973)*7919+$A13*40289)*(14*104729+7919),99991)*100+14,999999999)</f>
        <v/>
      </c>
      <c r="AK13">
        <f>IF(AND($B13=1,Q13&lt;&gt;"",ISNUMBER(FIND("*",Q13))),MOD((MOD('ตารางเวร'!$B$4,9973)*7919+$A13*40289)*(15*104729+7919),99991)*100+15,999999999)</f>
        <v/>
      </c>
      <c r="AL13">
        <f>IF(AND($B13=1,R13&lt;&gt;"",ISNUMBER(FIND("*",R13))),MOD((MOD('ตารางเวร'!$B$4,9973)*7919+$A13*40289)*(16*104729+7919),99991)*100+16,999999999)</f>
        <v/>
      </c>
      <c r="AM13">
        <f>IF(AND($B13=1,S13&lt;&gt;"",ISNUMBER(FIND("*",S13))),MOD((MOD('ตารางเวร'!$B$4,9973)*7919+$A13*40289)*(17*104729+7919),99991)*100+17,999999999)</f>
        <v/>
      </c>
      <c r="AN13">
        <f>IF(AND($B13=1,T13&lt;&gt;"",ISNUMBER(FIND("*",T13))),MOD((MOD('ตารางเวร'!$B$4,9973)*7919+$A13*40289)*(18*104729+7919),99991)*100+18,999999999)</f>
        <v/>
      </c>
      <c r="AO13">
        <f>IF(AND($B13=1,U13&lt;&gt;"",ISNUMBER(FIND("*",U13))),MOD((MOD('ตารางเวร'!$B$4,9973)*7919+$A13*40289)*(19*104729+7919),99991)*100+19,999999999)</f>
        <v/>
      </c>
      <c r="AP13">
        <f>IF(AND($B13=1,V13&lt;&gt;"",ISNUMBER(FIND("*",V13))),MOD((MOD('ตารางเวร'!$B$4,9973)*7919+$A13*40289)*(20*104729+7919),99991)*100+20,999999999)</f>
        <v/>
      </c>
      <c r="AQ13">
        <f>IF(TRIM('ตารางเวร'!$B$10)&lt;&gt;"",999999999,W13)</f>
        <v/>
      </c>
      <c r="AR13">
        <f>IF(TRIM('ตารางเวร'!$B$11)&lt;&gt;"",999999999,X13)</f>
        <v/>
      </c>
      <c r="AS13">
        <f>IF(TRIM('ตารางเวร'!$B$12)&lt;&gt;"",999999999,Y13)</f>
        <v/>
      </c>
      <c r="AT13">
        <f>IF(TRIM('ตารางเวร'!$B$13)&lt;&gt;"",999999999,Z13)</f>
        <v/>
      </c>
      <c r="AU13">
        <f>IF(TRIM('ตารางเวร'!$B$14)&lt;&gt;"",999999999,AA13)</f>
        <v/>
      </c>
      <c r="AV13">
        <f>IF(TRIM('ตารางเวร'!$B$15)&lt;&gt;"",999999999,AB13)</f>
        <v/>
      </c>
      <c r="AW13">
        <f>IF(TRIM('ตารางเวร'!$B$16)&lt;&gt;"",999999999,AC13)</f>
        <v/>
      </c>
      <c r="AX13">
        <f>IF(TRIM('ตารางเวร'!$B$17)&lt;&gt;"",999999999,AD13)</f>
        <v/>
      </c>
      <c r="AY13">
        <f>IF(TRIM('ตารางเวร'!$B$18)&lt;&gt;"",999999999,AE13)</f>
        <v/>
      </c>
      <c r="AZ13">
        <f>IF(TRIM('ตารางเวร'!$B$19)&lt;&gt;"",999999999,AF13)</f>
        <v/>
      </c>
      <c r="BA13">
        <f>IF(TRIM('ตารางเวร'!$B$20)&lt;&gt;"",999999999,AG13)</f>
        <v/>
      </c>
      <c r="BB13">
        <f>IF(TRIM('ตารางเวร'!$B$21)&lt;&gt;"",999999999,AH13)</f>
        <v/>
      </c>
      <c r="BC13">
        <f>IF(TRIM('ตารางเวร'!$B$22)&lt;&gt;"",999999999,AI13)</f>
        <v/>
      </c>
      <c r="BD13">
        <f>IF(TRIM('ตารางเวร'!$B$23)&lt;&gt;"",999999999,AJ13)</f>
        <v/>
      </c>
      <c r="BE13">
        <f>IF(TRIM('ตารางเวร'!$B$24)&lt;&gt;"",999999999,AK13)</f>
        <v/>
      </c>
      <c r="BF13">
        <f>IF(TRIM('ตารางเวร'!$B$25)&lt;&gt;"",999999999,AL13)</f>
        <v/>
      </c>
      <c r="BG13">
        <f>IF(TRIM('ตารางเวร'!$B$26)&lt;&gt;"",999999999,AM13)</f>
        <v/>
      </c>
      <c r="BH13">
        <f>IF(TRIM('ตารางเวร'!$B$27)&lt;&gt;"",999999999,AN13)</f>
        <v/>
      </c>
      <c r="BI13">
        <f>IF(TRIM('ตารางเวร'!$B$28)&lt;&gt;"",999999999,AO13)</f>
        <v/>
      </c>
      <c r="BJ13">
        <f>IF(TRIM('ตารางเวร'!$B$29)&lt;&gt;"",999999999,AP13)</f>
        <v/>
      </c>
      <c r="BK13">
        <f>IF(AND($B13=1,C13&lt;&gt;"",NOT(ISNUMBER(FIND("*",C13)))),1,999999)</f>
        <v/>
      </c>
      <c r="BL13">
        <f>IF(AND($B13=1,D13&lt;&gt;"",NOT(ISNUMBER(FIND("*",D13)))),2,999999)</f>
        <v/>
      </c>
      <c r="BM13">
        <f>IF(AND($B13=1,E13&lt;&gt;"",NOT(ISNUMBER(FIND("*",E13)))),3,999999)</f>
        <v/>
      </c>
      <c r="BN13">
        <f>IF(AND($B13=1,F13&lt;&gt;"",NOT(ISNUMBER(FIND("*",F13)))),4,999999)</f>
        <v/>
      </c>
      <c r="BO13">
        <f>IF(AND($B13=1,G13&lt;&gt;"",NOT(ISNUMBER(FIND("*",G13)))),5,999999)</f>
        <v/>
      </c>
      <c r="BP13">
        <f>IF(AND($B13=1,H13&lt;&gt;"",NOT(ISNUMBER(FIND("*",H13)))),6,999999)</f>
        <v/>
      </c>
      <c r="BQ13">
        <f>IF(AND($B13=1,I13&lt;&gt;"",NOT(ISNUMBER(FIND("*",I13)))),7,999999)</f>
        <v/>
      </c>
      <c r="BR13">
        <f>IF(AND($B13=1,J13&lt;&gt;"",NOT(ISNUMBER(FIND("*",J13)))),8,999999)</f>
        <v/>
      </c>
      <c r="BS13">
        <f>IF(AND($B13=1,K13&lt;&gt;"",NOT(ISNUMBER(FIND("*",K13)))),9,999999)</f>
        <v/>
      </c>
      <c r="BT13">
        <f>IF(AND($B13=1,L13&lt;&gt;"",NOT(ISNUMBER(FIND("*",L13)))),10,999999)</f>
        <v/>
      </c>
      <c r="BU13">
        <f>IF(AND($B13=1,M13&lt;&gt;"",NOT(ISNUMBER(FIND("*",M13)))),11,999999)</f>
        <v/>
      </c>
      <c r="BV13">
        <f>IF(AND($B13=1,N13&lt;&gt;"",NOT(ISNUMBER(FIND("*",N13)))),12,999999)</f>
        <v/>
      </c>
      <c r="BW13">
        <f>IF(AND($B13=1,O13&lt;&gt;"",NOT(ISNUMBER(FIND("*",O13)))),13,999999)</f>
        <v/>
      </c>
      <c r="BX13">
        <f>IF(AND($B13=1,P13&lt;&gt;"",NOT(ISNUMBER(FIND("*",P13)))),14,999999)</f>
        <v/>
      </c>
      <c r="BY13">
        <f>IF(AND($B13=1,Q13&lt;&gt;"",NOT(ISNUMBER(FIND("*",Q13)))),15,999999)</f>
        <v/>
      </c>
      <c r="BZ13">
        <f>IF(AND($B13=1,R13&lt;&gt;"",NOT(ISNUMBER(FIND("*",R13)))),16,999999)</f>
        <v/>
      </c>
      <c r="CA13">
        <f>IF(AND($B13=1,S13&lt;&gt;"",NOT(ISNUMBER(FIND("*",S13)))),17,999999)</f>
        <v/>
      </c>
      <c r="CB13">
        <f>IF(AND($B13=1,T13&lt;&gt;"",NOT(ISNUMBER(FIND("*",T13)))),18,999999)</f>
        <v/>
      </c>
      <c r="CC13">
        <f>IF(AND($B13=1,U13&lt;&gt;"",NOT(ISNUMBER(FIND("*",U13)))),19,999999)</f>
        <v/>
      </c>
      <c r="CD13">
        <f>IF(AND($B13=1,V13&lt;&gt;"",NOT(ISNUMBER(FIND("*",V13)))),20,999999)</f>
        <v/>
      </c>
      <c r="CE13">
        <f>IF(MIN(AQ13:BJ13)&gt;=999999999,0,MATCH(MIN(AQ13:BJ13),AQ13:BJ13,0))</f>
        <v/>
      </c>
      <c r="CF13">
        <f>IF($CE13=1,999999999,W13)</f>
        <v/>
      </c>
      <c r="CG13">
        <f>IF($CE13=2,999999999,X13)</f>
        <v/>
      </c>
      <c r="CH13">
        <f>IF($CE13=3,999999999,Y13)</f>
        <v/>
      </c>
      <c r="CI13">
        <f>IF($CE13=4,999999999,Z13)</f>
        <v/>
      </c>
      <c r="CJ13">
        <f>IF($CE13=5,999999999,AA13)</f>
        <v/>
      </c>
      <c r="CK13">
        <f>IF($CE13=6,999999999,AB13)</f>
        <v/>
      </c>
      <c r="CL13">
        <f>IF($CE13=7,999999999,AC13)</f>
        <v/>
      </c>
      <c r="CM13">
        <f>IF($CE13=8,999999999,AD13)</f>
        <v/>
      </c>
      <c r="CN13">
        <f>IF($CE13=9,999999999,AE13)</f>
        <v/>
      </c>
      <c r="CO13">
        <f>IF($CE13=10,999999999,AF13)</f>
        <v/>
      </c>
      <c r="CP13">
        <f>IF($CE13=11,999999999,AG13)</f>
        <v/>
      </c>
      <c r="CQ13">
        <f>IF($CE13=12,999999999,AH13)</f>
        <v/>
      </c>
      <c r="CR13">
        <f>IF($CE13=13,999999999,AI13)</f>
        <v/>
      </c>
      <c r="CS13">
        <f>IF($CE13=14,999999999,AJ13)</f>
        <v/>
      </c>
      <c r="CT13">
        <f>IF($CE13=15,999999999,AK13)</f>
        <v/>
      </c>
      <c r="CU13">
        <f>IF($CE13=16,999999999,AL13)</f>
        <v/>
      </c>
      <c r="CV13">
        <f>IF($CE13=17,999999999,AM13)</f>
        <v/>
      </c>
      <c r="CW13">
        <f>IF($CE13=18,999999999,AN13)</f>
        <v/>
      </c>
      <c r="CX13">
        <f>IF($CE13=19,999999999,AO13)</f>
        <v/>
      </c>
      <c r="CY13">
        <f>IF($CE13=20,999999999,AP13)</f>
        <v/>
      </c>
      <c r="CZ13">
        <f>COUNTIF(W13:AP13,"&lt;999999999")</f>
        <v/>
      </c>
      <c r="DA13">
        <f>COUNTIF(BK13:CD13,"&lt;999999")</f>
        <v/>
      </c>
      <c r="DB13">
        <f>$CZ13-IF($CE13&gt;0,1,0)</f>
        <v/>
      </c>
      <c r="DC13">
        <f>IF(OR($B13=0,C13=""),0,DC12+1)</f>
        <v/>
      </c>
      <c r="DD13">
        <f>IF(OR($B13=0,D13=""),0,DD12+1)</f>
        <v/>
      </c>
      <c r="DE13">
        <f>IF(OR($B13=0,E13=""),0,DE12+1)</f>
        <v/>
      </c>
      <c r="DF13">
        <f>IF(OR($B13=0,F13=""),0,DF12+1)</f>
        <v/>
      </c>
      <c r="DG13">
        <f>IF(OR($B13=0,G13=""),0,DG12+1)</f>
        <v/>
      </c>
      <c r="DH13">
        <f>IF(OR($B13=0,H13=""),0,DH12+1)</f>
        <v/>
      </c>
      <c r="DI13">
        <f>IF(OR($B13=0,I13=""),0,DI12+1)</f>
        <v/>
      </c>
      <c r="DJ13">
        <f>IF(OR($B13=0,J13=""),0,DJ12+1)</f>
        <v/>
      </c>
      <c r="DK13">
        <f>IF(OR($B13=0,K13=""),0,DK12+1)</f>
        <v/>
      </c>
      <c r="DL13">
        <f>IF(OR($B13=0,L13=""),0,DL12+1)</f>
        <v/>
      </c>
      <c r="DM13">
        <f>IF(OR($B13=0,M13=""),0,DM12+1)</f>
        <v/>
      </c>
      <c r="DN13">
        <f>IF(OR($B13=0,N13=""),0,DN12+1)</f>
        <v/>
      </c>
      <c r="DO13">
        <f>IF(OR($B13=0,O13=""),0,DO12+1)</f>
        <v/>
      </c>
      <c r="DP13">
        <f>IF(OR($B13=0,P13=""),0,DP12+1)</f>
        <v/>
      </c>
      <c r="DQ13">
        <f>IF(OR($B13=0,Q13=""),0,DQ12+1)</f>
        <v/>
      </c>
      <c r="DR13">
        <f>IF(OR($B13=0,R13=""),0,DR12+1)</f>
        <v/>
      </c>
      <c r="DS13">
        <f>IF(OR($B13=0,S13=""),0,DS12+1)</f>
        <v/>
      </c>
      <c r="DT13">
        <f>IF(OR($B13=0,T13=""),0,DT12+1)</f>
        <v/>
      </c>
      <c r="DU13">
        <f>IF(OR($B13=0,U13=""),0,DU12+1)</f>
        <v/>
      </c>
      <c r="DV13">
        <f>IF(OR($B13=0,V13=""),0,DV12+1)</f>
        <v/>
      </c>
      <c r="DW13">
        <f>'ตารางเวร'!M$7</f>
        <v/>
      </c>
      <c r="DX13">
        <f>IF($B13=0,0,IF(WEEKDAY('ตารางเวร'!M$6,2)=IFERROR(MATCH('ตารางเวร'!$AM$11,'ตารางเวร'!$AO$10:$AO$17,0),0),1,0))</f>
        <v/>
      </c>
    </row>
    <row r="14">
      <c r="A14" t="n">
        <v>12</v>
      </c>
      <c r="B14">
        <f>IF(12&gt;DAY(EOMONTH(DATE('ตารางเวร'!$B$3-543,'ตารางเวร'!$B$2,1),0)),0,1)</f>
        <v/>
      </c>
      <c r="C14">
        <f>IF($B14=0,"",IFERROR(TRIM(INDEX('ตารางเวร'!$C$10:$AG$29,1,$A14)),""))</f>
        <v/>
      </c>
      <c r="D14">
        <f>IF($B14=0,"",IFERROR(TRIM(INDEX('ตารางเวร'!$C$10:$AG$29,2,$A14)),""))</f>
        <v/>
      </c>
      <c r="E14">
        <f>IF($B14=0,"",IFERROR(TRIM(INDEX('ตารางเวร'!$C$10:$AG$29,3,$A14)),""))</f>
        <v/>
      </c>
      <c r="F14">
        <f>IF($B14=0,"",IFERROR(TRIM(INDEX('ตารางเวร'!$C$10:$AG$29,4,$A14)),""))</f>
        <v/>
      </c>
      <c r="G14">
        <f>IF($B14=0,"",IFERROR(TRIM(INDEX('ตารางเวร'!$C$10:$AG$29,5,$A14)),""))</f>
        <v/>
      </c>
      <c r="H14">
        <f>IF($B14=0,"",IFERROR(TRIM(INDEX('ตารางเวร'!$C$10:$AG$29,6,$A14)),""))</f>
        <v/>
      </c>
      <c r="I14">
        <f>IF($B14=0,"",IFERROR(TRIM(INDEX('ตารางเวร'!$C$10:$AG$29,7,$A14)),""))</f>
        <v/>
      </c>
      <c r="J14">
        <f>IF($B14=0,"",IFERROR(TRIM(INDEX('ตารางเวร'!$C$10:$AG$29,8,$A14)),""))</f>
        <v/>
      </c>
      <c r="K14">
        <f>IF($B14=0,"",IFERROR(TRIM(INDEX('ตารางเวร'!$C$10:$AG$29,9,$A14)),""))</f>
        <v/>
      </c>
      <c r="L14">
        <f>IF($B14=0,"",IFERROR(TRIM(INDEX('ตารางเวร'!$C$10:$AG$29,10,$A14)),""))</f>
        <v/>
      </c>
      <c r="M14">
        <f>IF($B14=0,"",IFERROR(TRIM(INDEX('ตารางเวร'!$C$10:$AG$29,11,$A14)),""))</f>
        <v/>
      </c>
      <c r="N14">
        <f>IF($B14=0,"",IFERROR(TRIM(INDEX('ตารางเวร'!$C$10:$AG$29,12,$A14)),""))</f>
        <v/>
      </c>
      <c r="O14">
        <f>IF($B14=0,"",IFERROR(TRIM(INDEX('ตารางเวร'!$C$10:$AG$29,13,$A14)),""))</f>
        <v/>
      </c>
      <c r="P14">
        <f>IF($B14=0,"",IFERROR(TRIM(INDEX('ตารางเวร'!$C$10:$AG$29,14,$A14)),""))</f>
        <v/>
      </c>
      <c r="Q14">
        <f>IF($B14=0,"",IFERROR(TRIM(INDEX('ตารางเวร'!$C$10:$AG$29,15,$A14)),""))</f>
        <v/>
      </c>
      <c r="R14">
        <f>IF($B14=0,"",IFERROR(TRIM(INDEX('ตารางเวร'!$C$10:$AG$29,16,$A14)),""))</f>
        <v/>
      </c>
      <c r="S14">
        <f>IF($B14=0,"",IFERROR(TRIM(INDEX('ตารางเวร'!$C$10:$AG$29,17,$A14)),""))</f>
        <v/>
      </c>
      <c r="T14">
        <f>IF($B14=0,"",IFERROR(TRIM(INDEX('ตารางเวร'!$C$10:$AG$29,18,$A14)),""))</f>
        <v/>
      </c>
      <c r="U14">
        <f>IF($B14=0,"",IFERROR(TRIM(INDEX('ตารางเวร'!$C$10:$AG$29,19,$A14)),""))</f>
        <v/>
      </c>
      <c r="V14">
        <f>IF($B14=0,"",IFERROR(TRIM(INDEX('ตารางเวร'!$C$10:$AG$29,20,$A14)),""))</f>
        <v/>
      </c>
      <c r="W14">
        <f>IF(AND($B14=1,C14&lt;&gt;"",ISNUMBER(FIND("*",C14))),MOD((MOD('ตารางเวร'!$B$4,9973)*7919+$A14*40289)*(1*104729+7919),99991)*100+1,999999999)</f>
        <v/>
      </c>
      <c r="X14">
        <f>IF(AND($B14=1,D14&lt;&gt;"",ISNUMBER(FIND("*",D14))),MOD((MOD('ตารางเวร'!$B$4,9973)*7919+$A14*40289)*(2*104729+7919),99991)*100+2,999999999)</f>
        <v/>
      </c>
      <c r="Y14">
        <f>IF(AND($B14=1,E14&lt;&gt;"",ISNUMBER(FIND("*",E14))),MOD((MOD('ตารางเวร'!$B$4,9973)*7919+$A14*40289)*(3*104729+7919),99991)*100+3,999999999)</f>
        <v/>
      </c>
      <c r="Z14">
        <f>IF(AND($B14=1,F14&lt;&gt;"",ISNUMBER(FIND("*",F14))),MOD((MOD('ตารางเวร'!$B$4,9973)*7919+$A14*40289)*(4*104729+7919),99991)*100+4,999999999)</f>
        <v/>
      </c>
      <c r="AA14">
        <f>IF(AND($B14=1,G14&lt;&gt;"",ISNUMBER(FIND("*",G14))),MOD((MOD('ตารางเวร'!$B$4,9973)*7919+$A14*40289)*(5*104729+7919),99991)*100+5,999999999)</f>
        <v/>
      </c>
      <c r="AB14">
        <f>IF(AND($B14=1,H14&lt;&gt;"",ISNUMBER(FIND("*",H14))),MOD((MOD('ตารางเวร'!$B$4,9973)*7919+$A14*40289)*(6*104729+7919),99991)*100+6,999999999)</f>
        <v/>
      </c>
      <c r="AC14">
        <f>IF(AND($B14=1,I14&lt;&gt;"",ISNUMBER(FIND("*",I14))),MOD((MOD('ตารางเวร'!$B$4,9973)*7919+$A14*40289)*(7*104729+7919),99991)*100+7,999999999)</f>
        <v/>
      </c>
      <c r="AD14">
        <f>IF(AND($B14=1,J14&lt;&gt;"",ISNUMBER(FIND("*",J14))),MOD((MOD('ตารางเวร'!$B$4,9973)*7919+$A14*40289)*(8*104729+7919),99991)*100+8,999999999)</f>
        <v/>
      </c>
      <c r="AE14">
        <f>IF(AND($B14=1,K14&lt;&gt;"",ISNUMBER(FIND("*",K14))),MOD((MOD('ตารางเวร'!$B$4,9973)*7919+$A14*40289)*(9*104729+7919),99991)*100+9,999999999)</f>
        <v/>
      </c>
      <c r="AF14">
        <f>IF(AND($B14=1,L14&lt;&gt;"",ISNUMBER(FIND("*",L14))),MOD((MOD('ตารางเวร'!$B$4,9973)*7919+$A14*40289)*(10*104729+7919),99991)*100+10,999999999)</f>
        <v/>
      </c>
      <c r="AG14">
        <f>IF(AND($B14=1,M14&lt;&gt;"",ISNUMBER(FIND("*",M14))),MOD((MOD('ตารางเวร'!$B$4,9973)*7919+$A14*40289)*(11*104729+7919),99991)*100+11,999999999)</f>
        <v/>
      </c>
      <c r="AH14">
        <f>IF(AND($B14=1,N14&lt;&gt;"",ISNUMBER(FIND("*",N14))),MOD((MOD('ตารางเวร'!$B$4,9973)*7919+$A14*40289)*(12*104729+7919),99991)*100+12,999999999)</f>
        <v/>
      </c>
      <c r="AI14">
        <f>IF(AND($B14=1,O14&lt;&gt;"",ISNUMBER(FIND("*",O14))),MOD((MOD('ตารางเวร'!$B$4,9973)*7919+$A14*40289)*(13*104729+7919),99991)*100+13,999999999)</f>
        <v/>
      </c>
      <c r="AJ14">
        <f>IF(AND($B14=1,P14&lt;&gt;"",ISNUMBER(FIND("*",P14))),MOD((MOD('ตารางเวร'!$B$4,9973)*7919+$A14*40289)*(14*104729+7919),99991)*100+14,999999999)</f>
        <v/>
      </c>
      <c r="AK14">
        <f>IF(AND($B14=1,Q14&lt;&gt;"",ISNUMBER(FIND("*",Q14))),MOD((MOD('ตารางเวร'!$B$4,9973)*7919+$A14*40289)*(15*104729+7919),99991)*100+15,999999999)</f>
        <v/>
      </c>
      <c r="AL14">
        <f>IF(AND($B14=1,R14&lt;&gt;"",ISNUMBER(FIND("*",R14))),MOD((MOD('ตารางเวร'!$B$4,9973)*7919+$A14*40289)*(16*104729+7919),99991)*100+16,999999999)</f>
        <v/>
      </c>
      <c r="AM14">
        <f>IF(AND($B14=1,S14&lt;&gt;"",ISNUMBER(FIND("*",S14))),MOD((MOD('ตารางเวร'!$B$4,9973)*7919+$A14*40289)*(17*104729+7919),99991)*100+17,999999999)</f>
        <v/>
      </c>
      <c r="AN14">
        <f>IF(AND($B14=1,T14&lt;&gt;"",ISNUMBER(FIND("*",T14))),MOD((MOD('ตารางเวร'!$B$4,9973)*7919+$A14*40289)*(18*104729+7919),99991)*100+18,999999999)</f>
        <v/>
      </c>
      <c r="AO14">
        <f>IF(AND($B14=1,U14&lt;&gt;"",ISNUMBER(FIND("*",U14))),MOD((MOD('ตารางเวร'!$B$4,9973)*7919+$A14*40289)*(19*104729+7919),99991)*100+19,999999999)</f>
        <v/>
      </c>
      <c r="AP14">
        <f>IF(AND($B14=1,V14&lt;&gt;"",ISNUMBER(FIND("*",V14))),MOD((MOD('ตารางเวร'!$B$4,9973)*7919+$A14*40289)*(20*104729+7919),99991)*100+20,999999999)</f>
        <v/>
      </c>
      <c r="AQ14">
        <f>IF(TRIM('ตารางเวร'!$B$10)&lt;&gt;"",999999999,W14)</f>
        <v/>
      </c>
      <c r="AR14">
        <f>IF(TRIM('ตารางเวร'!$B$11)&lt;&gt;"",999999999,X14)</f>
        <v/>
      </c>
      <c r="AS14">
        <f>IF(TRIM('ตารางเวร'!$B$12)&lt;&gt;"",999999999,Y14)</f>
        <v/>
      </c>
      <c r="AT14">
        <f>IF(TRIM('ตารางเวร'!$B$13)&lt;&gt;"",999999999,Z14)</f>
        <v/>
      </c>
      <c r="AU14">
        <f>IF(TRIM('ตารางเวร'!$B$14)&lt;&gt;"",999999999,AA14)</f>
        <v/>
      </c>
      <c r="AV14">
        <f>IF(TRIM('ตารางเวร'!$B$15)&lt;&gt;"",999999999,AB14)</f>
        <v/>
      </c>
      <c r="AW14">
        <f>IF(TRIM('ตารางเวร'!$B$16)&lt;&gt;"",999999999,AC14)</f>
        <v/>
      </c>
      <c r="AX14">
        <f>IF(TRIM('ตารางเวร'!$B$17)&lt;&gt;"",999999999,AD14)</f>
        <v/>
      </c>
      <c r="AY14">
        <f>IF(TRIM('ตารางเวร'!$B$18)&lt;&gt;"",999999999,AE14)</f>
        <v/>
      </c>
      <c r="AZ14">
        <f>IF(TRIM('ตารางเวร'!$B$19)&lt;&gt;"",999999999,AF14)</f>
        <v/>
      </c>
      <c r="BA14">
        <f>IF(TRIM('ตารางเวร'!$B$20)&lt;&gt;"",999999999,AG14)</f>
        <v/>
      </c>
      <c r="BB14">
        <f>IF(TRIM('ตารางเวร'!$B$21)&lt;&gt;"",999999999,AH14)</f>
        <v/>
      </c>
      <c r="BC14">
        <f>IF(TRIM('ตารางเวร'!$B$22)&lt;&gt;"",999999999,AI14)</f>
        <v/>
      </c>
      <c r="BD14">
        <f>IF(TRIM('ตารางเวร'!$B$23)&lt;&gt;"",999999999,AJ14)</f>
        <v/>
      </c>
      <c r="BE14">
        <f>IF(TRIM('ตารางเวร'!$B$24)&lt;&gt;"",999999999,AK14)</f>
        <v/>
      </c>
      <c r="BF14">
        <f>IF(TRIM('ตารางเวร'!$B$25)&lt;&gt;"",999999999,AL14)</f>
        <v/>
      </c>
      <c r="BG14">
        <f>IF(TRIM('ตารางเวร'!$B$26)&lt;&gt;"",999999999,AM14)</f>
        <v/>
      </c>
      <c r="BH14">
        <f>IF(TRIM('ตารางเวร'!$B$27)&lt;&gt;"",999999999,AN14)</f>
        <v/>
      </c>
      <c r="BI14">
        <f>IF(TRIM('ตารางเวร'!$B$28)&lt;&gt;"",999999999,AO14)</f>
        <v/>
      </c>
      <c r="BJ14">
        <f>IF(TRIM('ตารางเวร'!$B$29)&lt;&gt;"",999999999,AP14)</f>
        <v/>
      </c>
      <c r="BK14">
        <f>IF(AND($B14=1,C14&lt;&gt;"",NOT(ISNUMBER(FIND("*",C14)))),1,999999)</f>
        <v/>
      </c>
      <c r="BL14">
        <f>IF(AND($B14=1,D14&lt;&gt;"",NOT(ISNUMBER(FIND("*",D14)))),2,999999)</f>
        <v/>
      </c>
      <c r="BM14">
        <f>IF(AND($B14=1,E14&lt;&gt;"",NOT(ISNUMBER(FIND("*",E14)))),3,999999)</f>
        <v/>
      </c>
      <c r="BN14">
        <f>IF(AND($B14=1,F14&lt;&gt;"",NOT(ISNUMBER(FIND("*",F14)))),4,999999)</f>
        <v/>
      </c>
      <c r="BO14">
        <f>IF(AND($B14=1,G14&lt;&gt;"",NOT(ISNUMBER(FIND("*",G14)))),5,999999)</f>
        <v/>
      </c>
      <c r="BP14">
        <f>IF(AND($B14=1,H14&lt;&gt;"",NOT(ISNUMBER(FIND("*",H14)))),6,999999)</f>
        <v/>
      </c>
      <c r="BQ14">
        <f>IF(AND($B14=1,I14&lt;&gt;"",NOT(ISNUMBER(FIND("*",I14)))),7,999999)</f>
        <v/>
      </c>
      <c r="BR14">
        <f>IF(AND($B14=1,J14&lt;&gt;"",NOT(ISNUMBER(FIND("*",J14)))),8,999999)</f>
        <v/>
      </c>
      <c r="BS14">
        <f>IF(AND($B14=1,K14&lt;&gt;"",NOT(ISNUMBER(FIND("*",K14)))),9,999999)</f>
        <v/>
      </c>
      <c r="BT14">
        <f>IF(AND($B14=1,L14&lt;&gt;"",NOT(ISNUMBER(FIND("*",L14)))),10,999999)</f>
        <v/>
      </c>
      <c r="BU14">
        <f>IF(AND($B14=1,M14&lt;&gt;"",NOT(ISNUMBER(FIND("*",M14)))),11,999999)</f>
        <v/>
      </c>
      <c r="BV14">
        <f>IF(AND($B14=1,N14&lt;&gt;"",NOT(ISNUMBER(FIND("*",N14)))),12,999999)</f>
        <v/>
      </c>
      <c r="BW14">
        <f>IF(AND($B14=1,O14&lt;&gt;"",NOT(ISNUMBER(FIND("*",O14)))),13,999999)</f>
        <v/>
      </c>
      <c r="BX14">
        <f>IF(AND($B14=1,P14&lt;&gt;"",NOT(ISNUMBER(FIND("*",P14)))),14,999999)</f>
        <v/>
      </c>
      <c r="BY14">
        <f>IF(AND($B14=1,Q14&lt;&gt;"",NOT(ISNUMBER(FIND("*",Q14)))),15,999999)</f>
        <v/>
      </c>
      <c r="BZ14">
        <f>IF(AND($B14=1,R14&lt;&gt;"",NOT(ISNUMBER(FIND("*",R14)))),16,999999)</f>
        <v/>
      </c>
      <c r="CA14">
        <f>IF(AND($B14=1,S14&lt;&gt;"",NOT(ISNUMBER(FIND("*",S14)))),17,999999)</f>
        <v/>
      </c>
      <c r="CB14">
        <f>IF(AND($B14=1,T14&lt;&gt;"",NOT(ISNUMBER(FIND("*",T14)))),18,999999)</f>
        <v/>
      </c>
      <c r="CC14">
        <f>IF(AND($B14=1,U14&lt;&gt;"",NOT(ISNUMBER(FIND("*",U14)))),19,999999)</f>
        <v/>
      </c>
      <c r="CD14">
        <f>IF(AND($B14=1,V14&lt;&gt;"",NOT(ISNUMBER(FIND("*",V14)))),20,999999)</f>
        <v/>
      </c>
      <c r="CE14">
        <f>IF(MIN(AQ14:BJ14)&gt;=999999999,0,MATCH(MIN(AQ14:BJ14),AQ14:BJ14,0))</f>
        <v/>
      </c>
      <c r="CF14">
        <f>IF($CE14=1,999999999,W14)</f>
        <v/>
      </c>
      <c r="CG14">
        <f>IF($CE14=2,999999999,X14)</f>
        <v/>
      </c>
      <c r="CH14">
        <f>IF($CE14=3,999999999,Y14)</f>
        <v/>
      </c>
      <c r="CI14">
        <f>IF($CE14=4,999999999,Z14)</f>
        <v/>
      </c>
      <c r="CJ14">
        <f>IF($CE14=5,999999999,AA14)</f>
        <v/>
      </c>
      <c r="CK14">
        <f>IF($CE14=6,999999999,AB14)</f>
        <v/>
      </c>
      <c r="CL14">
        <f>IF($CE14=7,999999999,AC14)</f>
        <v/>
      </c>
      <c r="CM14">
        <f>IF($CE14=8,999999999,AD14)</f>
        <v/>
      </c>
      <c r="CN14">
        <f>IF($CE14=9,999999999,AE14)</f>
        <v/>
      </c>
      <c r="CO14">
        <f>IF($CE14=10,999999999,AF14)</f>
        <v/>
      </c>
      <c r="CP14">
        <f>IF($CE14=11,999999999,AG14)</f>
        <v/>
      </c>
      <c r="CQ14">
        <f>IF($CE14=12,999999999,AH14)</f>
        <v/>
      </c>
      <c r="CR14">
        <f>IF($CE14=13,999999999,AI14)</f>
        <v/>
      </c>
      <c r="CS14">
        <f>IF($CE14=14,999999999,AJ14)</f>
        <v/>
      </c>
      <c r="CT14">
        <f>IF($CE14=15,999999999,AK14)</f>
        <v/>
      </c>
      <c r="CU14">
        <f>IF($CE14=16,999999999,AL14)</f>
        <v/>
      </c>
      <c r="CV14">
        <f>IF($CE14=17,999999999,AM14)</f>
        <v/>
      </c>
      <c r="CW14">
        <f>IF($CE14=18,999999999,AN14)</f>
        <v/>
      </c>
      <c r="CX14">
        <f>IF($CE14=19,999999999,AO14)</f>
        <v/>
      </c>
      <c r="CY14">
        <f>IF($CE14=20,999999999,AP14)</f>
        <v/>
      </c>
      <c r="CZ14">
        <f>COUNTIF(W14:AP14,"&lt;999999999")</f>
        <v/>
      </c>
      <c r="DA14">
        <f>COUNTIF(BK14:CD14,"&lt;999999")</f>
        <v/>
      </c>
      <c r="DB14">
        <f>$CZ14-IF($CE14&gt;0,1,0)</f>
        <v/>
      </c>
      <c r="DC14">
        <f>IF(OR($B14=0,C14=""),0,DC13+1)</f>
        <v/>
      </c>
      <c r="DD14">
        <f>IF(OR($B14=0,D14=""),0,DD13+1)</f>
        <v/>
      </c>
      <c r="DE14">
        <f>IF(OR($B14=0,E14=""),0,DE13+1)</f>
        <v/>
      </c>
      <c r="DF14">
        <f>IF(OR($B14=0,F14=""),0,DF13+1)</f>
        <v/>
      </c>
      <c r="DG14">
        <f>IF(OR($B14=0,G14=""),0,DG13+1)</f>
        <v/>
      </c>
      <c r="DH14">
        <f>IF(OR($B14=0,H14=""),0,DH13+1)</f>
        <v/>
      </c>
      <c r="DI14">
        <f>IF(OR($B14=0,I14=""),0,DI13+1)</f>
        <v/>
      </c>
      <c r="DJ14">
        <f>IF(OR($B14=0,J14=""),0,DJ13+1)</f>
        <v/>
      </c>
      <c r="DK14">
        <f>IF(OR($B14=0,K14=""),0,DK13+1)</f>
        <v/>
      </c>
      <c r="DL14">
        <f>IF(OR($B14=0,L14=""),0,DL13+1)</f>
        <v/>
      </c>
      <c r="DM14">
        <f>IF(OR($B14=0,M14=""),0,DM13+1)</f>
        <v/>
      </c>
      <c r="DN14">
        <f>IF(OR($B14=0,N14=""),0,DN13+1)</f>
        <v/>
      </c>
      <c r="DO14">
        <f>IF(OR($B14=0,O14=""),0,DO13+1)</f>
        <v/>
      </c>
      <c r="DP14">
        <f>IF(OR($B14=0,P14=""),0,DP13+1)</f>
        <v/>
      </c>
      <c r="DQ14">
        <f>IF(OR($B14=0,Q14=""),0,DQ13+1)</f>
        <v/>
      </c>
      <c r="DR14">
        <f>IF(OR($B14=0,R14=""),0,DR13+1)</f>
        <v/>
      </c>
      <c r="DS14">
        <f>IF(OR($B14=0,S14=""),0,DS13+1)</f>
        <v/>
      </c>
      <c r="DT14">
        <f>IF(OR($B14=0,T14=""),0,DT13+1)</f>
        <v/>
      </c>
      <c r="DU14">
        <f>IF(OR($B14=0,U14=""),0,DU13+1)</f>
        <v/>
      </c>
      <c r="DV14">
        <f>IF(OR($B14=0,V14=""),0,DV13+1)</f>
        <v/>
      </c>
      <c r="DW14">
        <f>'ตารางเวร'!N$7</f>
        <v/>
      </c>
      <c r="DX14">
        <f>IF($B14=0,0,IF(WEEKDAY('ตารางเวร'!N$6,2)=IFERROR(MATCH('ตารางเวร'!$AM$11,'ตารางเวร'!$AO$10:$AO$17,0),0),1,0))</f>
        <v/>
      </c>
    </row>
    <row r="15">
      <c r="A15" t="n">
        <v>13</v>
      </c>
      <c r="B15">
        <f>IF(13&gt;DAY(EOMONTH(DATE('ตารางเวร'!$B$3-543,'ตารางเวร'!$B$2,1),0)),0,1)</f>
        <v/>
      </c>
      <c r="C15">
        <f>IF($B15=0,"",IFERROR(TRIM(INDEX('ตารางเวร'!$C$10:$AG$29,1,$A15)),""))</f>
        <v/>
      </c>
      <c r="D15">
        <f>IF($B15=0,"",IFERROR(TRIM(INDEX('ตารางเวร'!$C$10:$AG$29,2,$A15)),""))</f>
        <v/>
      </c>
      <c r="E15">
        <f>IF($B15=0,"",IFERROR(TRIM(INDEX('ตารางเวร'!$C$10:$AG$29,3,$A15)),""))</f>
        <v/>
      </c>
      <c r="F15">
        <f>IF($B15=0,"",IFERROR(TRIM(INDEX('ตารางเวร'!$C$10:$AG$29,4,$A15)),""))</f>
        <v/>
      </c>
      <c r="G15">
        <f>IF($B15=0,"",IFERROR(TRIM(INDEX('ตารางเวร'!$C$10:$AG$29,5,$A15)),""))</f>
        <v/>
      </c>
      <c r="H15">
        <f>IF($B15=0,"",IFERROR(TRIM(INDEX('ตารางเวร'!$C$10:$AG$29,6,$A15)),""))</f>
        <v/>
      </c>
      <c r="I15">
        <f>IF($B15=0,"",IFERROR(TRIM(INDEX('ตารางเวร'!$C$10:$AG$29,7,$A15)),""))</f>
        <v/>
      </c>
      <c r="J15">
        <f>IF($B15=0,"",IFERROR(TRIM(INDEX('ตารางเวร'!$C$10:$AG$29,8,$A15)),""))</f>
        <v/>
      </c>
      <c r="K15">
        <f>IF($B15=0,"",IFERROR(TRIM(INDEX('ตารางเวร'!$C$10:$AG$29,9,$A15)),""))</f>
        <v/>
      </c>
      <c r="L15">
        <f>IF($B15=0,"",IFERROR(TRIM(INDEX('ตารางเวร'!$C$10:$AG$29,10,$A15)),""))</f>
        <v/>
      </c>
      <c r="M15">
        <f>IF($B15=0,"",IFERROR(TRIM(INDEX('ตารางเวร'!$C$10:$AG$29,11,$A15)),""))</f>
        <v/>
      </c>
      <c r="N15">
        <f>IF($B15=0,"",IFERROR(TRIM(INDEX('ตารางเวร'!$C$10:$AG$29,12,$A15)),""))</f>
        <v/>
      </c>
      <c r="O15">
        <f>IF($B15=0,"",IFERROR(TRIM(INDEX('ตารางเวร'!$C$10:$AG$29,13,$A15)),""))</f>
        <v/>
      </c>
      <c r="P15">
        <f>IF($B15=0,"",IFERROR(TRIM(INDEX('ตารางเวร'!$C$10:$AG$29,14,$A15)),""))</f>
        <v/>
      </c>
      <c r="Q15">
        <f>IF($B15=0,"",IFERROR(TRIM(INDEX('ตารางเวร'!$C$10:$AG$29,15,$A15)),""))</f>
        <v/>
      </c>
      <c r="R15">
        <f>IF($B15=0,"",IFERROR(TRIM(INDEX('ตารางเวร'!$C$10:$AG$29,16,$A15)),""))</f>
        <v/>
      </c>
      <c r="S15">
        <f>IF($B15=0,"",IFERROR(TRIM(INDEX('ตารางเวร'!$C$10:$AG$29,17,$A15)),""))</f>
        <v/>
      </c>
      <c r="T15">
        <f>IF($B15=0,"",IFERROR(TRIM(INDEX('ตารางเวร'!$C$10:$AG$29,18,$A15)),""))</f>
        <v/>
      </c>
      <c r="U15">
        <f>IF($B15=0,"",IFERROR(TRIM(INDEX('ตารางเวร'!$C$10:$AG$29,19,$A15)),""))</f>
        <v/>
      </c>
      <c r="V15">
        <f>IF($B15=0,"",IFERROR(TRIM(INDEX('ตารางเวร'!$C$10:$AG$29,20,$A15)),""))</f>
        <v/>
      </c>
      <c r="W15">
        <f>IF(AND($B15=1,C15&lt;&gt;"",ISNUMBER(FIND("*",C15))),MOD((MOD('ตารางเวร'!$B$4,9973)*7919+$A15*40289)*(1*104729+7919),99991)*100+1,999999999)</f>
        <v/>
      </c>
      <c r="X15">
        <f>IF(AND($B15=1,D15&lt;&gt;"",ISNUMBER(FIND("*",D15))),MOD((MOD('ตารางเวร'!$B$4,9973)*7919+$A15*40289)*(2*104729+7919),99991)*100+2,999999999)</f>
        <v/>
      </c>
      <c r="Y15">
        <f>IF(AND($B15=1,E15&lt;&gt;"",ISNUMBER(FIND("*",E15))),MOD((MOD('ตารางเวร'!$B$4,9973)*7919+$A15*40289)*(3*104729+7919),99991)*100+3,999999999)</f>
        <v/>
      </c>
      <c r="Z15">
        <f>IF(AND($B15=1,F15&lt;&gt;"",ISNUMBER(FIND("*",F15))),MOD((MOD('ตารางเวร'!$B$4,9973)*7919+$A15*40289)*(4*104729+7919),99991)*100+4,999999999)</f>
        <v/>
      </c>
      <c r="AA15">
        <f>IF(AND($B15=1,G15&lt;&gt;"",ISNUMBER(FIND("*",G15))),MOD((MOD('ตารางเวร'!$B$4,9973)*7919+$A15*40289)*(5*104729+7919),99991)*100+5,999999999)</f>
        <v/>
      </c>
      <c r="AB15">
        <f>IF(AND($B15=1,H15&lt;&gt;"",ISNUMBER(FIND("*",H15))),MOD((MOD('ตารางเวร'!$B$4,9973)*7919+$A15*40289)*(6*104729+7919),99991)*100+6,999999999)</f>
        <v/>
      </c>
      <c r="AC15">
        <f>IF(AND($B15=1,I15&lt;&gt;"",ISNUMBER(FIND("*",I15))),MOD((MOD('ตารางเวร'!$B$4,9973)*7919+$A15*40289)*(7*104729+7919),99991)*100+7,999999999)</f>
        <v/>
      </c>
      <c r="AD15">
        <f>IF(AND($B15=1,J15&lt;&gt;"",ISNUMBER(FIND("*",J15))),MOD((MOD('ตารางเวร'!$B$4,9973)*7919+$A15*40289)*(8*104729+7919),99991)*100+8,999999999)</f>
        <v/>
      </c>
      <c r="AE15">
        <f>IF(AND($B15=1,K15&lt;&gt;"",ISNUMBER(FIND("*",K15))),MOD((MOD('ตารางเวร'!$B$4,9973)*7919+$A15*40289)*(9*104729+7919),99991)*100+9,999999999)</f>
        <v/>
      </c>
      <c r="AF15">
        <f>IF(AND($B15=1,L15&lt;&gt;"",ISNUMBER(FIND("*",L15))),MOD((MOD('ตารางเวร'!$B$4,9973)*7919+$A15*40289)*(10*104729+7919),99991)*100+10,999999999)</f>
        <v/>
      </c>
      <c r="AG15">
        <f>IF(AND($B15=1,M15&lt;&gt;"",ISNUMBER(FIND("*",M15))),MOD((MOD('ตารางเวร'!$B$4,9973)*7919+$A15*40289)*(11*104729+7919),99991)*100+11,999999999)</f>
        <v/>
      </c>
      <c r="AH15">
        <f>IF(AND($B15=1,N15&lt;&gt;"",ISNUMBER(FIND("*",N15))),MOD((MOD('ตารางเวร'!$B$4,9973)*7919+$A15*40289)*(12*104729+7919),99991)*100+12,999999999)</f>
        <v/>
      </c>
      <c r="AI15">
        <f>IF(AND($B15=1,O15&lt;&gt;"",ISNUMBER(FIND("*",O15))),MOD((MOD('ตารางเวร'!$B$4,9973)*7919+$A15*40289)*(13*104729+7919),99991)*100+13,999999999)</f>
        <v/>
      </c>
      <c r="AJ15">
        <f>IF(AND($B15=1,P15&lt;&gt;"",ISNUMBER(FIND("*",P15))),MOD((MOD('ตารางเวร'!$B$4,9973)*7919+$A15*40289)*(14*104729+7919),99991)*100+14,999999999)</f>
        <v/>
      </c>
      <c r="AK15">
        <f>IF(AND($B15=1,Q15&lt;&gt;"",ISNUMBER(FIND("*",Q15))),MOD((MOD('ตารางเวร'!$B$4,9973)*7919+$A15*40289)*(15*104729+7919),99991)*100+15,999999999)</f>
        <v/>
      </c>
      <c r="AL15">
        <f>IF(AND($B15=1,R15&lt;&gt;"",ISNUMBER(FIND("*",R15))),MOD((MOD('ตารางเวร'!$B$4,9973)*7919+$A15*40289)*(16*104729+7919),99991)*100+16,999999999)</f>
        <v/>
      </c>
      <c r="AM15">
        <f>IF(AND($B15=1,S15&lt;&gt;"",ISNUMBER(FIND("*",S15))),MOD((MOD('ตารางเวร'!$B$4,9973)*7919+$A15*40289)*(17*104729+7919),99991)*100+17,999999999)</f>
        <v/>
      </c>
      <c r="AN15">
        <f>IF(AND($B15=1,T15&lt;&gt;"",ISNUMBER(FIND("*",T15))),MOD((MOD('ตารางเวร'!$B$4,9973)*7919+$A15*40289)*(18*104729+7919),99991)*100+18,999999999)</f>
        <v/>
      </c>
      <c r="AO15">
        <f>IF(AND($B15=1,U15&lt;&gt;"",ISNUMBER(FIND("*",U15))),MOD((MOD('ตารางเวร'!$B$4,9973)*7919+$A15*40289)*(19*104729+7919),99991)*100+19,999999999)</f>
        <v/>
      </c>
      <c r="AP15">
        <f>IF(AND($B15=1,V15&lt;&gt;"",ISNUMBER(FIND("*",V15))),MOD((MOD('ตารางเวร'!$B$4,9973)*7919+$A15*40289)*(20*104729+7919),99991)*100+20,999999999)</f>
        <v/>
      </c>
      <c r="AQ15">
        <f>IF(TRIM('ตารางเวร'!$B$10)&lt;&gt;"",999999999,W15)</f>
        <v/>
      </c>
      <c r="AR15">
        <f>IF(TRIM('ตารางเวร'!$B$11)&lt;&gt;"",999999999,X15)</f>
        <v/>
      </c>
      <c r="AS15">
        <f>IF(TRIM('ตารางเวร'!$B$12)&lt;&gt;"",999999999,Y15)</f>
        <v/>
      </c>
      <c r="AT15">
        <f>IF(TRIM('ตารางเวร'!$B$13)&lt;&gt;"",999999999,Z15)</f>
        <v/>
      </c>
      <c r="AU15">
        <f>IF(TRIM('ตารางเวร'!$B$14)&lt;&gt;"",999999999,AA15)</f>
        <v/>
      </c>
      <c r="AV15">
        <f>IF(TRIM('ตารางเวร'!$B$15)&lt;&gt;"",999999999,AB15)</f>
        <v/>
      </c>
      <c r="AW15">
        <f>IF(TRIM('ตารางเวร'!$B$16)&lt;&gt;"",999999999,AC15)</f>
        <v/>
      </c>
      <c r="AX15">
        <f>IF(TRIM('ตารางเวร'!$B$17)&lt;&gt;"",999999999,AD15)</f>
        <v/>
      </c>
      <c r="AY15">
        <f>IF(TRIM('ตารางเวร'!$B$18)&lt;&gt;"",999999999,AE15)</f>
        <v/>
      </c>
      <c r="AZ15">
        <f>IF(TRIM('ตารางเวร'!$B$19)&lt;&gt;"",999999999,AF15)</f>
        <v/>
      </c>
      <c r="BA15">
        <f>IF(TRIM('ตารางเวร'!$B$20)&lt;&gt;"",999999999,AG15)</f>
        <v/>
      </c>
      <c r="BB15">
        <f>IF(TRIM('ตารางเวร'!$B$21)&lt;&gt;"",999999999,AH15)</f>
        <v/>
      </c>
      <c r="BC15">
        <f>IF(TRIM('ตารางเวร'!$B$22)&lt;&gt;"",999999999,AI15)</f>
        <v/>
      </c>
      <c r="BD15">
        <f>IF(TRIM('ตารางเวร'!$B$23)&lt;&gt;"",999999999,AJ15)</f>
        <v/>
      </c>
      <c r="BE15">
        <f>IF(TRIM('ตารางเวร'!$B$24)&lt;&gt;"",999999999,AK15)</f>
        <v/>
      </c>
      <c r="BF15">
        <f>IF(TRIM('ตารางเวร'!$B$25)&lt;&gt;"",999999999,AL15)</f>
        <v/>
      </c>
      <c r="BG15">
        <f>IF(TRIM('ตารางเวร'!$B$26)&lt;&gt;"",999999999,AM15)</f>
        <v/>
      </c>
      <c r="BH15">
        <f>IF(TRIM('ตารางเวร'!$B$27)&lt;&gt;"",999999999,AN15)</f>
        <v/>
      </c>
      <c r="BI15">
        <f>IF(TRIM('ตารางเวร'!$B$28)&lt;&gt;"",999999999,AO15)</f>
        <v/>
      </c>
      <c r="BJ15">
        <f>IF(TRIM('ตารางเวร'!$B$29)&lt;&gt;"",999999999,AP15)</f>
        <v/>
      </c>
      <c r="BK15">
        <f>IF(AND($B15=1,C15&lt;&gt;"",NOT(ISNUMBER(FIND("*",C15)))),1,999999)</f>
        <v/>
      </c>
      <c r="BL15">
        <f>IF(AND($B15=1,D15&lt;&gt;"",NOT(ISNUMBER(FIND("*",D15)))),2,999999)</f>
        <v/>
      </c>
      <c r="BM15">
        <f>IF(AND($B15=1,E15&lt;&gt;"",NOT(ISNUMBER(FIND("*",E15)))),3,999999)</f>
        <v/>
      </c>
      <c r="BN15">
        <f>IF(AND($B15=1,F15&lt;&gt;"",NOT(ISNUMBER(FIND("*",F15)))),4,999999)</f>
        <v/>
      </c>
      <c r="BO15">
        <f>IF(AND($B15=1,G15&lt;&gt;"",NOT(ISNUMBER(FIND("*",G15)))),5,999999)</f>
        <v/>
      </c>
      <c r="BP15">
        <f>IF(AND($B15=1,H15&lt;&gt;"",NOT(ISNUMBER(FIND("*",H15)))),6,999999)</f>
        <v/>
      </c>
      <c r="BQ15">
        <f>IF(AND($B15=1,I15&lt;&gt;"",NOT(ISNUMBER(FIND("*",I15)))),7,999999)</f>
        <v/>
      </c>
      <c r="BR15">
        <f>IF(AND($B15=1,J15&lt;&gt;"",NOT(ISNUMBER(FIND("*",J15)))),8,999999)</f>
        <v/>
      </c>
      <c r="BS15">
        <f>IF(AND($B15=1,K15&lt;&gt;"",NOT(ISNUMBER(FIND("*",K15)))),9,999999)</f>
        <v/>
      </c>
      <c r="BT15">
        <f>IF(AND($B15=1,L15&lt;&gt;"",NOT(ISNUMBER(FIND("*",L15)))),10,999999)</f>
        <v/>
      </c>
      <c r="BU15">
        <f>IF(AND($B15=1,M15&lt;&gt;"",NOT(ISNUMBER(FIND("*",M15)))),11,999999)</f>
        <v/>
      </c>
      <c r="BV15">
        <f>IF(AND($B15=1,N15&lt;&gt;"",NOT(ISNUMBER(FIND("*",N15)))),12,999999)</f>
        <v/>
      </c>
      <c r="BW15">
        <f>IF(AND($B15=1,O15&lt;&gt;"",NOT(ISNUMBER(FIND("*",O15)))),13,999999)</f>
        <v/>
      </c>
      <c r="BX15">
        <f>IF(AND($B15=1,P15&lt;&gt;"",NOT(ISNUMBER(FIND("*",P15)))),14,999999)</f>
        <v/>
      </c>
      <c r="BY15">
        <f>IF(AND($B15=1,Q15&lt;&gt;"",NOT(ISNUMBER(FIND("*",Q15)))),15,999999)</f>
        <v/>
      </c>
      <c r="BZ15">
        <f>IF(AND($B15=1,R15&lt;&gt;"",NOT(ISNUMBER(FIND("*",R15)))),16,999999)</f>
        <v/>
      </c>
      <c r="CA15">
        <f>IF(AND($B15=1,S15&lt;&gt;"",NOT(ISNUMBER(FIND("*",S15)))),17,999999)</f>
        <v/>
      </c>
      <c r="CB15">
        <f>IF(AND($B15=1,T15&lt;&gt;"",NOT(ISNUMBER(FIND("*",T15)))),18,999999)</f>
        <v/>
      </c>
      <c r="CC15">
        <f>IF(AND($B15=1,U15&lt;&gt;"",NOT(ISNUMBER(FIND("*",U15)))),19,999999)</f>
        <v/>
      </c>
      <c r="CD15">
        <f>IF(AND($B15=1,V15&lt;&gt;"",NOT(ISNUMBER(FIND("*",V15)))),20,999999)</f>
        <v/>
      </c>
      <c r="CE15">
        <f>IF(MIN(AQ15:BJ15)&gt;=999999999,0,MATCH(MIN(AQ15:BJ15),AQ15:BJ15,0))</f>
        <v/>
      </c>
      <c r="CF15">
        <f>IF($CE15=1,999999999,W15)</f>
        <v/>
      </c>
      <c r="CG15">
        <f>IF($CE15=2,999999999,X15)</f>
        <v/>
      </c>
      <c r="CH15">
        <f>IF($CE15=3,999999999,Y15)</f>
        <v/>
      </c>
      <c r="CI15">
        <f>IF($CE15=4,999999999,Z15)</f>
        <v/>
      </c>
      <c r="CJ15">
        <f>IF($CE15=5,999999999,AA15)</f>
        <v/>
      </c>
      <c r="CK15">
        <f>IF($CE15=6,999999999,AB15)</f>
        <v/>
      </c>
      <c r="CL15">
        <f>IF($CE15=7,999999999,AC15)</f>
        <v/>
      </c>
      <c r="CM15">
        <f>IF($CE15=8,999999999,AD15)</f>
        <v/>
      </c>
      <c r="CN15">
        <f>IF($CE15=9,999999999,AE15)</f>
        <v/>
      </c>
      <c r="CO15">
        <f>IF($CE15=10,999999999,AF15)</f>
        <v/>
      </c>
      <c r="CP15">
        <f>IF($CE15=11,999999999,AG15)</f>
        <v/>
      </c>
      <c r="CQ15">
        <f>IF($CE15=12,999999999,AH15)</f>
        <v/>
      </c>
      <c r="CR15">
        <f>IF($CE15=13,999999999,AI15)</f>
        <v/>
      </c>
      <c r="CS15">
        <f>IF($CE15=14,999999999,AJ15)</f>
        <v/>
      </c>
      <c r="CT15">
        <f>IF($CE15=15,999999999,AK15)</f>
        <v/>
      </c>
      <c r="CU15">
        <f>IF($CE15=16,999999999,AL15)</f>
        <v/>
      </c>
      <c r="CV15">
        <f>IF($CE15=17,999999999,AM15)</f>
        <v/>
      </c>
      <c r="CW15">
        <f>IF($CE15=18,999999999,AN15)</f>
        <v/>
      </c>
      <c r="CX15">
        <f>IF($CE15=19,999999999,AO15)</f>
        <v/>
      </c>
      <c r="CY15">
        <f>IF($CE15=20,999999999,AP15)</f>
        <v/>
      </c>
      <c r="CZ15">
        <f>COUNTIF(W15:AP15,"&lt;999999999")</f>
        <v/>
      </c>
      <c r="DA15">
        <f>COUNTIF(BK15:CD15,"&lt;999999")</f>
        <v/>
      </c>
      <c r="DB15">
        <f>$CZ15-IF($CE15&gt;0,1,0)</f>
        <v/>
      </c>
      <c r="DC15">
        <f>IF(OR($B15=0,C15=""),0,DC14+1)</f>
        <v/>
      </c>
      <c r="DD15">
        <f>IF(OR($B15=0,D15=""),0,DD14+1)</f>
        <v/>
      </c>
      <c r="DE15">
        <f>IF(OR($B15=0,E15=""),0,DE14+1)</f>
        <v/>
      </c>
      <c r="DF15">
        <f>IF(OR($B15=0,F15=""),0,DF14+1)</f>
        <v/>
      </c>
      <c r="DG15">
        <f>IF(OR($B15=0,G15=""),0,DG14+1)</f>
        <v/>
      </c>
      <c r="DH15">
        <f>IF(OR($B15=0,H15=""),0,DH14+1)</f>
        <v/>
      </c>
      <c r="DI15">
        <f>IF(OR($B15=0,I15=""),0,DI14+1)</f>
        <v/>
      </c>
      <c r="DJ15">
        <f>IF(OR($B15=0,J15=""),0,DJ14+1)</f>
        <v/>
      </c>
      <c r="DK15">
        <f>IF(OR($B15=0,K15=""),0,DK14+1)</f>
        <v/>
      </c>
      <c r="DL15">
        <f>IF(OR($B15=0,L15=""),0,DL14+1)</f>
        <v/>
      </c>
      <c r="DM15">
        <f>IF(OR($B15=0,M15=""),0,DM14+1)</f>
        <v/>
      </c>
      <c r="DN15">
        <f>IF(OR($B15=0,N15=""),0,DN14+1)</f>
        <v/>
      </c>
      <c r="DO15">
        <f>IF(OR($B15=0,O15=""),0,DO14+1)</f>
        <v/>
      </c>
      <c r="DP15">
        <f>IF(OR($B15=0,P15=""),0,DP14+1)</f>
        <v/>
      </c>
      <c r="DQ15">
        <f>IF(OR($B15=0,Q15=""),0,DQ14+1)</f>
        <v/>
      </c>
      <c r="DR15">
        <f>IF(OR($B15=0,R15=""),0,DR14+1)</f>
        <v/>
      </c>
      <c r="DS15">
        <f>IF(OR($B15=0,S15=""),0,DS14+1)</f>
        <v/>
      </c>
      <c r="DT15">
        <f>IF(OR($B15=0,T15=""),0,DT14+1)</f>
        <v/>
      </c>
      <c r="DU15">
        <f>IF(OR($B15=0,U15=""),0,DU14+1)</f>
        <v/>
      </c>
      <c r="DV15">
        <f>IF(OR($B15=0,V15=""),0,DV14+1)</f>
        <v/>
      </c>
      <c r="DW15">
        <f>'ตารางเวร'!O$7</f>
        <v/>
      </c>
      <c r="DX15">
        <f>IF($B15=0,0,IF(WEEKDAY('ตารางเวร'!O$6,2)=IFERROR(MATCH('ตารางเวร'!$AM$11,'ตารางเวร'!$AO$10:$AO$17,0),0),1,0))</f>
        <v/>
      </c>
    </row>
    <row r="16">
      <c r="A16" t="n">
        <v>14</v>
      </c>
      <c r="B16">
        <f>IF(14&gt;DAY(EOMONTH(DATE('ตารางเวร'!$B$3-543,'ตารางเวร'!$B$2,1),0)),0,1)</f>
        <v/>
      </c>
      <c r="C16">
        <f>IF($B16=0,"",IFERROR(TRIM(INDEX('ตารางเวร'!$C$10:$AG$29,1,$A16)),""))</f>
        <v/>
      </c>
      <c r="D16">
        <f>IF($B16=0,"",IFERROR(TRIM(INDEX('ตารางเวร'!$C$10:$AG$29,2,$A16)),""))</f>
        <v/>
      </c>
      <c r="E16">
        <f>IF($B16=0,"",IFERROR(TRIM(INDEX('ตารางเวร'!$C$10:$AG$29,3,$A16)),""))</f>
        <v/>
      </c>
      <c r="F16">
        <f>IF($B16=0,"",IFERROR(TRIM(INDEX('ตารางเวร'!$C$10:$AG$29,4,$A16)),""))</f>
        <v/>
      </c>
      <c r="G16">
        <f>IF($B16=0,"",IFERROR(TRIM(INDEX('ตารางเวร'!$C$10:$AG$29,5,$A16)),""))</f>
        <v/>
      </c>
      <c r="H16">
        <f>IF($B16=0,"",IFERROR(TRIM(INDEX('ตารางเวร'!$C$10:$AG$29,6,$A16)),""))</f>
        <v/>
      </c>
      <c r="I16">
        <f>IF($B16=0,"",IFERROR(TRIM(INDEX('ตารางเวร'!$C$10:$AG$29,7,$A16)),""))</f>
        <v/>
      </c>
      <c r="J16">
        <f>IF($B16=0,"",IFERROR(TRIM(INDEX('ตารางเวร'!$C$10:$AG$29,8,$A16)),""))</f>
        <v/>
      </c>
      <c r="K16">
        <f>IF($B16=0,"",IFERROR(TRIM(INDEX('ตารางเวร'!$C$10:$AG$29,9,$A16)),""))</f>
        <v/>
      </c>
      <c r="L16">
        <f>IF($B16=0,"",IFERROR(TRIM(INDEX('ตารางเวร'!$C$10:$AG$29,10,$A16)),""))</f>
        <v/>
      </c>
      <c r="M16">
        <f>IF($B16=0,"",IFERROR(TRIM(INDEX('ตารางเวร'!$C$10:$AG$29,11,$A16)),""))</f>
        <v/>
      </c>
      <c r="N16">
        <f>IF($B16=0,"",IFERROR(TRIM(INDEX('ตารางเวร'!$C$10:$AG$29,12,$A16)),""))</f>
        <v/>
      </c>
      <c r="O16">
        <f>IF($B16=0,"",IFERROR(TRIM(INDEX('ตารางเวร'!$C$10:$AG$29,13,$A16)),""))</f>
        <v/>
      </c>
      <c r="P16">
        <f>IF($B16=0,"",IFERROR(TRIM(INDEX('ตารางเวร'!$C$10:$AG$29,14,$A16)),""))</f>
        <v/>
      </c>
      <c r="Q16">
        <f>IF($B16=0,"",IFERROR(TRIM(INDEX('ตารางเวร'!$C$10:$AG$29,15,$A16)),""))</f>
        <v/>
      </c>
      <c r="R16">
        <f>IF($B16=0,"",IFERROR(TRIM(INDEX('ตารางเวร'!$C$10:$AG$29,16,$A16)),""))</f>
        <v/>
      </c>
      <c r="S16">
        <f>IF($B16=0,"",IFERROR(TRIM(INDEX('ตารางเวร'!$C$10:$AG$29,17,$A16)),""))</f>
        <v/>
      </c>
      <c r="T16">
        <f>IF($B16=0,"",IFERROR(TRIM(INDEX('ตารางเวร'!$C$10:$AG$29,18,$A16)),""))</f>
        <v/>
      </c>
      <c r="U16">
        <f>IF($B16=0,"",IFERROR(TRIM(INDEX('ตารางเวร'!$C$10:$AG$29,19,$A16)),""))</f>
        <v/>
      </c>
      <c r="V16">
        <f>IF($B16=0,"",IFERROR(TRIM(INDEX('ตารางเวร'!$C$10:$AG$29,20,$A16)),""))</f>
        <v/>
      </c>
      <c r="W16">
        <f>IF(AND($B16=1,C16&lt;&gt;"",ISNUMBER(FIND("*",C16))),MOD((MOD('ตารางเวร'!$B$4,9973)*7919+$A16*40289)*(1*104729+7919),99991)*100+1,999999999)</f>
        <v/>
      </c>
      <c r="X16">
        <f>IF(AND($B16=1,D16&lt;&gt;"",ISNUMBER(FIND("*",D16))),MOD((MOD('ตารางเวร'!$B$4,9973)*7919+$A16*40289)*(2*104729+7919),99991)*100+2,999999999)</f>
        <v/>
      </c>
      <c r="Y16">
        <f>IF(AND($B16=1,E16&lt;&gt;"",ISNUMBER(FIND("*",E16))),MOD((MOD('ตารางเวร'!$B$4,9973)*7919+$A16*40289)*(3*104729+7919),99991)*100+3,999999999)</f>
        <v/>
      </c>
      <c r="Z16">
        <f>IF(AND($B16=1,F16&lt;&gt;"",ISNUMBER(FIND("*",F16))),MOD((MOD('ตารางเวร'!$B$4,9973)*7919+$A16*40289)*(4*104729+7919),99991)*100+4,999999999)</f>
        <v/>
      </c>
      <c r="AA16">
        <f>IF(AND($B16=1,G16&lt;&gt;"",ISNUMBER(FIND("*",G16))),MOD((MOD('ตารางเวร'!$B$4,9973)*7919+$A16*40289)*(5*104729+7919),99991)*100+5,999999999)</f>
        <v/>
      </c>
      <c r="AB16">
        <f>IF(AND($B16=1,H16&lt;&gt;"",ISNUMBER(FIND("*",H16))),MOD((MOD('ตารางเวร'!$B$4,9973)*7919+$A16*40289)*(6*104729+7919),99991)*100+6,999999999)</f>
        <v/>
      </c>
      <c r="AC16">
        <f>IF(AND($B16=1,I16&lt;&gt;"",ISNUMBER(FIND("*",I16))),MOD((MOD('ตารางเวร'!$B$4,9973)*7919+$A16*40289)*(7*104729+7919),99991)*100+7,999999999)</f>
        <v/>
      </c>
      <c r="AD16">
        <f>IF(AND($B16=1,J16&lt;&gt;"",ISNUMBER(FIND("*",J16))),MOD((MOD('ตารางเวร'!$B$4,9973)*7919+$A16*40289)*(8*104729+7919),99991)*100+8,999999999)</f>
        <v/>
      </c>
      <c r="AE16">
        <f>IF(AND($B16=1,K16&lt;&gt;"",ISNUMBER(FIND("*",K16))),MOD((MOD('ตารางเวร'!$B$4,9973)*7919+$A16*40289)*(9*104729+7919),99991)*100+9,999999999)</f>
        <v/>
      </c>
      <c r="AF16">
        <f>IF(AND($B16=1,L16&lt;&gt;"",ISNUMBER(FIND("*",L16))),MOD((MOD('ตารางเวร'!$B$4,9973)*7919+$A16*40289)*(10*104729+7919),99991)*100+10,999999999)</f>
        <v/>
      </c>
      <c r="AG16">
        <f>IF(AND($B16=1,M16&lt;&gt;"",ISNUMBER(FIND("*",M16))),MOD((MOD('ตารางเวร'!$B$4,9973)*7919+$A16*40289)*(11*104729+7919),99991)*100+11,999999999)</f>
        <v/>
      </c>
      <c r="AH16">
        <f>IF(AND($B16=1,N16&lt;&gt;"",ISNUMBER(FIND("*",N16))),MOD((MOD('ตารางเวร'!$B$4,9973)*7919+$A16*40289)*(12*104729+7919),99991)*100+12,999999999)</f>
        <v/>
      </c>
      <c r="AI16">
        <f>IF(AND($B16=1,O16&lt;&gt;"",ISNUMBER(FIND("*",O16))),MOD((MOD('ตารางเวร'!$B$4,9973)*7919+$A16*40289)*(13*104729+7919),99991)*100+13,999999999)</f>
        <v/>
      </c>
      <c r="AJ16">
        <f>IF(AND($B16=1,P16&lt;&gt;"",ISNUMBER(FIND("*",P16))),MOD((MOD('ตารางเวร'!$B$4,9973)*7919+$A16*40289)*(14*104729+7919),99991)*100+14,999999999)</f>
        <v/>
      </c>
      <c r="AK16">
        <f>IF(AND($B16=1,Q16&lt;&gt;"",ISNUMBER(FIND("*",Q16))),MOD((MOD('ตารางเวร'!$B$4,9973)*7919+$A16*40289)*(15*104729+7919),99991)*100+15,999999999)</f>
        <v/>
      </c>
      <c r="AL16">
        <f>IF(AND($B16=1,R16&lt;&gt;"",ISNUMBER(FIND("*",R16))),MOD((MOD('ตารางเวร'!$B$4,9973)*7919+$A16*40289)*(16*104729+7919),99991)*100+16,999999999)</f>
        <v/>
      </c>
      <c r="AM16">
        <f>IF(AND($B16=1,S16&lt;&gt;"",ISNUMBER(FIND("*",S16))),MOD((MOD('ตารางเวร'!$B$4,9973)*7919+$A16*40289)*(17*104729+7919),99991)*100+17,999999999)</f>
        <v/>
      </c>
      <c r="AN16">
        <f>IF(AND($B16=1,T16&lt;&gt;"",ISNUMBER(FIND("*",T16))),MOD((MOD('ตารางเวร'!$B$4,9973)*7919+$A16*40289)*(18*104729+7919),99991)*100+18,999999999)</f>
        <v/>
      </c>
      <c r="AO16">
        <f>IF(AND($B16=1,U16&lt;&gt;"",ISNUMBER(FIND("*",U16))),MOD((MOD('ตารางเวร'!$B$4,9973)*7919+$A16*40289)*(19*104729+7919),99991)*100+19,999999999)</f>
        <v/>
      </c>
      <c r="AP16">
        <f>IF(AND($B16=1,V16&lt;&gt;"",ISNUMBER(FIND("*",V16))),MOD((MOD('ตารางเวร'!$B$4,9973)*7919+$A16*40289)*(20*104729+7919),99991)*100+20,999999999)</f>
        <v/>
      </c>
      <c r="AQ16">
        <f>IF(TRIM('ตารางเวร'!$B$10)&lt;&gt;"",999999999,W16)</f>
        <v/>
      </c>
      <c r="AR16">
        <f>IF(TRIM('ตารางเวร'!$B$11)&lt;&gt;"",999999999,X16)</f>
        <v/>
      </c>
      <c r="AS16">
        <f>IF(TRIM('ตารางเวร'!$B$12)&lt;&gt;"",999999999,Y16)</f>
        <v/>
      </c>
      <c r="AT16">
        <f>IF(TRIM('ตารางเวร'!$B$13)&lt;&gt;"",999999999,Z16)</f>
        <v/>
      </c>
      <c r="AU16">
        <f>IF(TRIM('ตารางเวร'!$B$14)&lt;&gt;"",999999999,AA16)</f>
        <v/>
      </c>
      <c r="AV16">
        <f>IF(TRIM('ตารางเวร'!$B$15)&lt;&gt;"",999999999,AB16)</f>
        <v/>
      </c>
      <c r="AW16">
        <f>IF(TRIM('ตารางเวร'!$B$16)&lt;&gt;"",999999999,AC16)</f>
        <v/>
      </c>
      <c r="AX16">
        <f>IF(TRIM('ตารางเวร'!$B$17)&lt;&gt;"",999999999,AD16)</f>
        <v/>
      </c>
      <c r="AY16">
        <f>IF(TRIM('ตารางเวร'!$B$18)&lt;&gt;"",999999999,AE16)</f>
        <v/>
      </c>
      <c r="AZ16">
        <f>IF(TRIM('ตารางเวร'!$B$19)&lt;&gt;"",999999999,AF16)</f>
        <v/>
      </c>
      <c r="BA16">
        <f>IF(TRIM('ตารางเวร'!$B$20)&lt;&gt;"",999999999,AG16)</f>
        <v/>
      </c>
      <c r="BB16">
        <f>IF(TRIM('ตารางเวร'!$B$21)&lt;&gt;"",999999999,AH16)</f>
        <v/>
      </c>
      <c r="BC16">
        <f>IF(TRIM('ตารางเวร'!$B$22)&lt;&gt;"",999999999,AI16)</f>
        <v/>
      </c>
      <c r="BD16">
        <f>IF(TRIM('ตารางเวร'!$B$23)&lt;&gt;"",999999999,AJ16)</f>
        <v/>
      </c>
      <c r="BE16">
        <f>IF(TRIM('ตารางเวร'!$B$24)&lt;&gt;"",999999999,AK16)</f>
        <v/>
      </c>
      <c r="BF16">
        <f>IF(TRIM('ตารางเวร'!$B$25)&lt;&gt;"",999999999,AL16)</f>
        <v/>
      </c>
      <c r="BG16">
        <f>IF(TRIM('ตารางเวร'!$B$26)&lt;&gt;"",999999999,AM16)</f>
        <v/>
      </c>
      <c r="BH16">
        <f>IF(TRIM('ตารางเวร'!$B$27)&lt;&gt;"",999999999,AN16)</f>
        <v/>
      </c>
      <c r="BI16">
        <f>IF(TRIM('ตารางเวร'!$B$28)&lt;&gt;"",999999999,AO16)</f>
        <v/>
      </c>
      <c r="BJ16">
        <f>IF(TRIM('ตารางเวร'!$B$29)&lt;&gt;"",999999999,AP16)</f>
        <v/>
      </c>
      <c r="BK16">
        <f>IF(AND($B16=1,C16&lt;&gt;"",NOT(ISNUMBER(FIND("*",C16)))),1,999999)</f>
        <v/>
      </c>
      <c r="BL16">
        <f>IF(AND($B16=1,D16&lt;&gt;"",NOT(ISNUMBER(FIND("*",D16)))),2,999999)</f>
        <v/>
      </c>
      <c r="BM16">
        <f>IF(AND($B16=1,E16&lt;&gt;"",NOT(ISNUMBER(FIND("*",E16)))),3,999999)</f>
        <v/>
      </c>
      <c r="BN16">
        <f>IF(AND($B16=1,F16&lt;&gt;"",NOT(ISNUMBER(FIND("*",F16)))),4,999999)</f>
        <v/>
      </c>
      <c r="BO16">
        <f>IF(AND($B16=1,G16&lt;&gt;"",NOT(ISNUMBER(FIND("*",G16)))),5,999999)</f>
        <v/>
      </c>
      <c r="BP16">
        <f>IF(AND($B16=1,H16&lt;&gt;"",NOT(ISNUMBER(FIND("*",H16)))),6,999999)</f>
        <v/>
      </c>
      <c r="BQ16">
        <f>IF(AND($B16=1,I16&lt;&gt;"",NOT(ISNUMBER(FIND("*",I16)))),7,999999)</f>
        <v/>
      </c>
      <c r="BR16">
        <f>IF(AND($B16=1,J16&lt;&gt;"",NOT(ISNUMBER(FIND("*",J16)))),8,999999)</f>
        <v/>
      </c>
      <c r="BS16">
        <f>IF(AND($B16=1,K16&lt;&gt;"",NOT(ISNUMBER(FIND("*",K16)))),9,999999)</f>
        <v/>
      </c>
      <c r="BT16">
        <f>IF(AND($B16=1,L16&lt;&gt;"",NOT(ISNUMBER(FIND("*",L16)))),10,999999)</f>
        <v/>
      </c>
      <c r="BU16">
        <f>IF(AND($B16=1,M16&lt;&gt;"",NOT(ISNUMBER(FIND("*",M16)))),11,999999)</f>
        <v/>
      </c>
      <c r="BV16">
        <f>IF(AND($B16=1,N16&lt;&gt;"",NOT(ISNUMBER(FIND("*",N16)))),12,999999)</f>
        <v/>
      </c>
      <c r="BW16">
        <f>IF(AND($B16=1,O16&lt;&gt;"",NOT(ISNUMBER(FIND("*",O16)))),13,999999)</f>
        <v/>
      </c>
      <c r="BX16">
        <f>IF(AND($B16=1,P16&lt;&gt;"",NOT(ISNUMBER(FIND("*",P16)))),14,999999)</f>
        <v/>
      </c>
      <c r="BY16">
        <f>IF(AND($B16=1,Q16&lt;&gt;"",NOT(ISNUMBER(FIND("*",Q16)))),15,999999)</f>
        <v/>
      </c>
      <c r="BZ16">
        <f>IF(AND($B16=1,R16&lt;&gt;"",NOT(ISNUMBER(FIND("*",R16)))),16,999999)</f>
        <v/>
      </c>
      <c r="CA16">
        <f>IF(AND($B16=1,S16&lt;&gt;"",NOT(ISNUMBER(FIND("*",S16)))),17,999999)</f>
        <v/>
      </c>
      <c r="CB16">
        <f>IF(AND($B16=1,T16&lt;&gt;"",NOT(ISNUMBER(FIND("*",T16)))),18,999999)</f>
        <v/>
      </c>
      <c r="CC16">
        <f>IF(AND($B16=1,U16&lt;&gt;"",NOT(ISNUMBER(FIND("*",U16)))),19,999999)</f>
        <v/>
      </c>
      <c r="CD16">
        <f>IF(AND($B16=1,V16&lt;&gt;"",NOT(ISNUMBER(FIND("*",V16)))),20,999999)</f>
        <v/>
      </c>
      <c r="CE16">
        <f>IF(MIN(AQ16:BJ16)&gt;=999999999,0,MATCH(MIN(AQ16:BJ16),AQ16:BJ16,0))</f>
        <v/>
      </c>
      <c r="CF16">
        <f>IF($CE16=1,999999999,W16)</f>
        <v/>
      </c>
      <c r="CG16">
        <f>IF($CE16=2,999999999,X16)</f>
        <v/>
      </c>
      <c r="CH16">
        <f>IF($CE16=3,999999999,Y16)</f>
        <v/>
      </c>
      <c r="CI16">
        <f>IF($CE16=4,999999999,Z16)</f>
        <v/>
      </c>
      <c r="CJ16">
        <f>IF($CE16=5,999999999,AA16)</f>
        <v/>
      </c>
      <c r="CK16">
        <f>IF($CE16=6,999999999,AB16)</f>
        <v/>
      </c>
      <c r="CL16">
        <f>IF($CE16=7,999999999,AC16)</f>
        <v/>
      </c>
      <c r="CM16">
        <f>IF($CE16=8,999999999,AD16)</f>
        <v/>
      </c>
      <c r="CN16">
        <f>IF($CE16=9,999999999,AE16)</f>
        <v/>
      </c>
      <c r="CO16">
        <f>IF($CE16=10,999999999,AF16)</f>
        <v/>
      </c>
      <c r="CP16">
        <f>IF($CE16=11,999999999,AG16)</f>
        <v/>
      </c>
      <c r="CQ16">
        <f>IF($CE16=12,999999999,AH16)</f>
        <v/>
      </c>
      <c r="CR16">
        <f>IF($CE16=13,999999999,AI16)</f>
        <v/>
      </c>
      <c r="CS16">
        <f>IF($CE16=14,999999999,AJ16)</f>
        <v/>
      </c>
      <c r="CT16">
        <f>IF($CE16=15,999999999,AK16)</f>
        <v/>
      </c>
      <c r="CU16">
        <f>IF($CE16=16,999999999,AL16)</f>
        <v/>
      </c>
      <c r="CV16">
        <f>IF($CE16=17,999999999,AM16)</f>
        <v/>
      </c>
      <c r="CW16">
        <f>IF($CE16=18,999999999,AN16)</f>
        <v/>
      </c>
      <c r="CX16">
        <f>IF($CE16=19,999999999,AO16)</f>
        <v/>
      </c>
      <c r="CY16">
        <f>IF($CE16=20,999999999,AP16)</f>
        <v/>
      </c>
      <c r="CZ16">
        <f>COUNTIF(W16:AP16,"&lt;999999999")</f>
        <v/>
      </c>
      <c r="DA16">
        <f>COUNTIF(BK16:CD16,"&lt;999999")</f>
        <v/>
      </c>
      <c r="DB16">
        <f>$CZ16-IF($CE16&gt;0,1,0)</f>
        <v/>
      </c>
      <c r="DC16">
        <f>IF(OR($B16=0,C16=""),0,DC15+1)</f>
        <v/>
      </c>
      <c r="DD16">
        <f>IF(OR($B16=0,D16=""),0,DD15+1)</f>
        <v/>
      </c>
      <c r="DE16">
        <f>IF(OR($B16=0,E16=""),0,DE15+1)</f>
        <v/>
      </c>
      <c r="DF16">
        <f>IF(OR($B16=0,F16=""),0,DF15+1)</f>
        <v/>
      </c>
      <c r="DG16">
        <f>IF(OR($B16=0,G16=""),0,DG15+1)</f>
        <v/>
      </c>
      <c r="DH16">
        <f>IF(OR($B16=0,H16=""),0,DH15+1)</f>
        <v/>
      </c>
      <c r="DI16">
        <f>IF(OR($B16=0,I16=""),0,DI15+1)</f>
        <v/>
      </c>
      <c r="DJ16">
        <f>IF(OR($B16=0,J16=""),0,DJ15+1)</f>
        <v/>
      </c>
      <c r="DK16">
        <f>IF(OR($B16=0,K16=""),0,DK15+1)</f>
        <v/>
      </c>
      <c r="DL16">
        <f>IF(OR($B16=0,L16=""),0,DL15+1)</f>
        <v/>
      </c>
      <c r="DM16">
        <f>IF(OR($B16=0,M16=""),0,DM15+1)</f>
        <v/>
      </c>
      <c r="DN16">
        <f>IF(OR($B16=0,N16=""),0,DN15+1)</f>
        <v/>
      </c>
      <c r="DO16">
        <f>IF(OR($B16=0,O16=""),0,DO15+1)</f>
        <v/>
      </c>
      <c r="DP16">
        <f>IF(OR($B16=0,P16=""),0,DP15+1)</f>
        <v/>
      </c>
      <c r="DQ16">
        <f>IF(OR($B16=0,Q16=""),0,DQ15+1)</f>
        <v/>
      </c>
      <c r="DR16">
        <f>IF(OR($B16=0,R16=""),0,DR15+1)</f>
        <v/>
      </c>
      <c r="DS16">
        <f>IF(OR($B16=0,S16=""),0,DS15+1)</f>
        <v/>
      </c>
      <c r="DT16">
        <f>IF(OR($B16=0,T16=""),0,DT15+1)</f>
        <v/>
      </c>
      <c r="DU16">
        <f>IF(OR($B16=0,U16=""),0,DU15+1)</f>
        <v/>
      </c>
      <c r="DV16">
        <f>IF(OR($B16=0,V16=""),0,DV15+1)</f>
        <v/>
      </c>
      <c r="DW16">
        <f>'ตารางเวร'!P$7</f>
        <v/>
      </c>
      <c r="DX16">
        <f>IF($B16=0,0,IF(WEEKDAY('ตารางเวร'!P$6,2)=IFERROR(MATCH('ตารางเวร'!$AM$11,'ตารางเวร'!$AO$10:$AO$17,0),0),1,0))</f>
        <v/>
      </c>
    </row>
    <row r="17">
      <c r="A17" t="n">
        <v>15</v>
      </c>
      <c r="B17">
        <f>IF(15&gt;DAY(EOMONTH(DATE('ตารางเวร'!$B$3-543,'ตารางเวร'!$B$2,1),0)),0,1)</f>
        <v/>
      </c>
      <c r="C17">
        <f>IF($B17=0,"",IFERROR(TRIM(INDEX('ตารางเวร'!$C$10:$AG$29,1,$A17)),""))</f>
        <v/>
      </c>
      <c r="D17">
        <f>IF($B17=0,"",IFERROR(TRIM(INDEX('ตารางเวร'!$C$10:$AG$29,2,$A17)),""))</f>
        <v/>
      </c>
      <c r="E17">
        <f>IF($B17=0,"",IFERROR(TRIM(INDEX('ตารางเวร'!$C$10:$AG$29,3,$A17)),""))</f>
        <v/>
      </c>
      <c r="F17">
        <f>IF($B17=0,"",IFERROR(TRIM(INDEX('ตารางเวร'!$C$10:$AG$29,4,$A17)),""))</f>
        <v/>
      </c>
      <c r="G17">
        <f>IF($B17=0,"",IFERROR(TRIM(INDEX('ตารางเวร'!$C$10:$AG$29,5,$A17)),""))</f>
        <v/>
      </c>
      <c r="H17">
        <f>IF($B17=0,"",IFERROR(TRIM(INDEX('ตารางเวร'!$C$10:$AG$29,6,$A17)),""))</f>
        <v/>
      </c>
      <c r="I17">
        <f>IF($B17=0,"",IFERROR(TRIM(INDEX('ตารางเวร'!$C$10:$AG$29,7,$A17)),""))</f>
        <v/>
      </c>
      <c r="J17">
        <f>IF($B17=0,"",IFERROR(TRIM(INDEX('ตารางเวร'!$C$10:$AG$29,8,$A17)),""))</f>
        <v/>
      </c>
      <c r="K17">
        <f>IF($B17=0,"",IFERROR(TRIM(INDEX('ตารางเวร'!$C$10:$AG$29,9,$A17)),""))</f>
        <v/>
      </c>
      <c r="L17">
        <f>IF($B17=0,"",IFERROR(TRIM(INDEX('ตารางเวร'!$C$10:$AG$29,10,$A17)),""))</f>
        <v/>
      </c>
      <c r="M17">
        <f>IF($B17=0,"",IFERROR(TRIM(INDEX('ตารางเวร'!$C$10:$AG$29,11,$A17)),""))</f>
        <v/>
      </c>
      <c r="N17">
        <f>IF($B17=0,"",IFERROR(TRIM(INDEX('ตารางเวร'!$C$10:$AG$29,12,$A17)),""))</f>
        <v/>
      </c>
      <c r="O17">
        <f>IF($B17=0,"",IFERROR(TRIM(INDEX('ตารางเวร'!$C$10:$AG$29,13,$A17)),""))</f>
        <v/>
      </c>
      <c r="P17">
        <f>IF($B17=0,"",IFERROR(TRIM(INDEX('ตารางเวร'!$C$10:$AG$29,14,$A17)),""))</f>
        <v/>
      </c>
      <c r="Q17">
        <f>IF($B17=0,"",IFERROR(TRIM(INDEX('ตารางเวร'!$C$10:$AG$29,15,$A17)),""))</f>
        <v/>
      </c>
      <c r="R17">
        <f>IF($B17=0,"",IFERROR(TRIM(INDEX('ตารางเวร'!$C$10:$AG$29,16,$A17)),""))</f>
        <v/>
      </c>
      <c r="S17">
        <f>IF($B17=0,"",IFERROR(TRIM(INDEX('ตารางเวร'!$C$10:$AG$29,17,$A17)),""))</f>
        <v/>
      </c>
      <c r="T17">
        <f>IF($B17=0,"",IFERROR(TRIM(INDEX('ตารางเวร'!$C$10:$AG$29,18,$A17)),""))</f>
        <v/>
      </c>
      <c r="U17">
        <f>IF($B17=0,"",IFERROR(TRIM(INDEX('ตารางเวร'!$C$10:$AG$29,19,$A17)),""))</f>
        <v/>
      </c>
      <c r="V17">
        <f>IF($B17=0,"",IFERROR(TRIM(INDEX('ตารางเวร'!$C$10:$AG$29,20,$A17)),""))</f>
        <v/>
      </c>
      <c r="W17">
        <f>IF(AND($B17=1,C17&lt;&gt;"",ISNUMBER(FIND("*",C17))),MOD((MOD('ตารางเวร'!$B$4,9973)*7919+$A17*40289)*(1*104729+7919),99991)*100+1,999999999)</f>
        <v/>
      </c>
      <c r="X17">
        <f>IF(AND($B17=1,D17&lt;&gt;"",ISNUMBER(FIND("*",D17))),MOD((MOD('ตารางเวร'!$B$4,9973)*7919+$A17*40289)*(2*104729+7919),99991)*100+2,999999999)</f>
        <v/>
      </c>
      <c r="Y17">
        <f>IF(AND($B17=1,E17&lt;&gt;"",ISNUMBER(FIND("*",E17))),MOD((MOD('ตารางเวร'!$B$4,9973)*7919+$A17*40289)*(3*104729+7919),99991)*100+3,999999999)</f>
        <v/>
      </c>
      <c r="Z17">
        <f>IF(AND($B17=1,F17&lt;&gt;"",ISNUMBER(FIND("*",F17))),MOD((MOD('ตารางเวร'!$B$4,9973)*7919+$A17*40289)*(4*104729+7919),99991)*100+4,999999999)</f>
        <v/>
      </c>
      <c r="AA17">
        <f>IF(AND($B17=1,G17&lt;&gt;"",ISNUMBER(FIND("*",G17))),MOD((MOD('ตารางเวร'!$B$4,9973)*7919+$A17*40289)*(5*104729+7919),99991)*100+5,999999999)</f>
        <v/>
      </c>
      <c r="AB17">
        <f>IF(AND($B17=1,H17&lt;&gt;"",ISNUMBER(FIND("*",H17))),MOD((MOD('ตารางเวร'!$B$4,9973)*7919+$A17*40289)*(6*104729+7919),99991)*100+6,999999999)</f>
        <v/>
      </c>
      <c r="AC17">
        <f>IF(AND($B17=1,I17&lt;&gt;"",ISNUMBER(FIND("*",I17))),MOD((MOD('ตารางเวร'!$B$4,9973)*7919+$A17*40289)*(7*104729+7919),99991)*100+7,999999999)</f>
        <v/>
      </c>
      <c r="AD17">
        <f>IF(AND($B17=1,J17&lt;&gt;"",ISNUMBER(FIND("*",J17))),MOD((MOD('ตารางเวร'!$B$4,9973)*7919+$A17*40289)*(8*104729+7919),99991)*100+8,999999999)</f>
        <v/>
      </c>
      <c r="AE17">
        <f>IF(AND($B17=1,K17&lt;&gt;"",ISNUMBER(FIND("*",K17))),MOD((MOD('ตารางเวร'!$B$4,9973)*7919+$A17*40289)*(9*104729+7919),99991)*100+9,999999999)</f>
        <v/>
      </c>
      <c r="AF17">
        <f>IF(AND($B17=1,L17&lt;&gt;"",ISNUMBER(FIND("*",L17))),MOD((MOD('ตารางเวร'!$B$4,9973)*7919+$A17*40289)*(10*104729+7919),99991)*100+10,999999999)</f>
        <v/>
      </c>
      <c r="AG17">
        <f>IF(AND($B17=1,M17&lt;&gt;"",ISNUMBER(FIND("*",M17))),MOD((MOD('ตารางเวร'!$B$4,9973)*7919+$A17*40289)*(11*104729+7919),99991)*100+11,999999999)</f>
        <v/>
      </c>
      <c r="AH17">
        <f>IF(AND($B17=1,N17&lt;&gt;"",ISNUMBER(FIND("*",N17))),MOD((MOD('ตารางเวร'!$B$4,9973)*7919+$A17*40289)*(12*104729+7919),99991)*100+12,999999999)</f>
        <v/>
      </c>
      <c r="AI17">
        <f>IF(AND($B17=1,O17&lt;&gt;"",ISNUMBER(FIND("*",O17))),MOD((MOD('ตารางเวร'!$B$4,9973)*7919+$A17*40289)*(13*104729+7919),99991)*100+13,999999999)</f>
        <v/>
      </c>
      <c r="AJ17">
        <f>IF(AND($B17=1,P17&lt;&gt;"",ISNUMBER(FIND("*",P17))),MOD((MOD('ตารางเวร'!$B$4,9973)*7919+$A17*40289)*(14*104729+7919),99991)*100+14,999999999)</f>
        <v/>
      </c>
      <c r="AK17">
        <f>IF(AND($B17=1,Q17&lt;&gt;"",ISNUMBER(FIND("*",Q17))),MOD((MOD('ตารางเวร'!$B$4,9973)*7919+$A17*40289)*(15*104729+7919),99991)*100+15,999999999)</f>
        <v/>
      </c>
      <c r="AL17">
        <f>IF(AND($B17=1,R17&lt;&gt;"",ISNUMBER(FIND("*",R17))),MOD((MOD('ตารางเวร'!$B$4,9973)*7919+$A17*40289)*(16*104729+7919),99991)*100+16,999999999)</f>
        <v/>
      </c>
      <c r="AM17">
        <f>IF(AND($B17=1,S17&lt;&gt;"",ISNUMBER(FIND("*",S17))),MOD((MOD('ตารางเวร'!$B$4,9973)*7919+$A17*40289)*(17*104729+7919),99991)*100+17,999999999)</f>
        <v/>
      </c>
      <c r="AN17">
        <f>IF(AND($B17=1,T17&lt;&gt;"",ISNUMBER(FIND("*",T17))),MOD((MOD('ตารางเวร'!$B$4,9973)*7919+$A17*40289)*(18*104729+7919),99991)*100+18,999999999)</f>
        <v/>
      </c>
      <c r="AO17">
        <f>IF(AND($B17=1,U17&lt;&gt;"",ISNUMBER(FIND("*",U17))),MOD((MOD('ตารางเวร'!$B$4,9973)*7919+$A17*40289)*(19*104729+7919),99991)*100+19,999999999)</f>
        <v/>
      </c>
      <c r="AP17">
        <f>IF(AND($B17=1,V17&lt;&gt;"",ISNUMBER(FIND("*",V17))),MOD((MOD('ตารางเวร'!$B$4,9973)*7919+$A17*40289)*(20*104729+7919),99991)*100+20,999999999)</f>
        <v/>
      </c>
      <c r="AQ17">
        <f>IF(TRIM('ตารางเวร'!$B$10)&lt;&gt;"",999999999,W17)</f>
        <v/>
      </c>
      <c r="AR17">
        <f>IF(TRIM('ตารางเวร'!$B$11)&lt;&gt;"",999999999,X17)</f>
        <v/>
      </c>
      <c r="AS17">
        <f>IF(TRIM('ตารางเวร'!$B$12)&lt;&gt;"",999999999,Y17)</f>
        <v/>
      </c>
      <c r="AT17">
        <f>IF(TRIM('ตารางเวร'!$B$13)&lt;&gt;"",999999999,Z17)</f>
        <v/>
      </c>
      <c r="AU17">
        <f>IF(TRIM('ตารางเวร'!$B$14)&lt;&gt;"",999999999,AA17)</f>
        <v/>
      </c>
      <c r="AV17">
        <f>IF(TRIM('ตารางเวร'!$B$15)&lt;&gt;"",999999999,AB17)</f>
        <v/>
      </c>
      <c r="AW17">
        <f>IF(TRIM('ตารางเวร'!$B$16)&lt;&gt;"",999999999,AC17)</f>
        <v/>
      </c>
      <c r="AX17">
        <f>IF(TRIM('ตารางเวร'!$B$17)&lt;&gt;"",999999999,AD17)</f>
        <v/>
      </c>
      <c r="AY17">
        <f>IF(TRIM('ตารางเวร'!$B$18)&lt;&gt;"",999999999,AE17)</f>
        <v/>
      </c>
      <c r="AZ17">
        <f>IF(TRIM('ตารางเวร'!$B$19)&lt;&gt;"",999999999,AF17)</f>
        <v/>
      </c>
      <c r="BA17">
        <f>IF(TRIM('ตารางเวร'!$B$20)&lt;&gt;"",999999999,AG17)</f>
        <v/>
      </c>
      <c r="BB17">
        <f>IF(TRIM('ตารางเวร'!$B$21)&lt;&gt;"",999999999,AH17)</f>
        <v/>
      </c>
      <c r="BC17">
        <f>IF(TRIM('ตารางเวร'!$B$22)&lt;&gt;"",999999999,AI17)</f>
        <v/>
      </c>
      <c r="BD17">
        <f>IF(TRIM('ตารางเวร'!$B$23)&lt;&gt;"",999999999,AJ17)</f>
        <v/>
      </c>
      <c r="BE17">
        <f>IF(TRIM('ตารางเวร'!$B$24)&lt;&gt;"",999999999,AK17)</f>
        <v/>
      </c>
      <c r="BF17">
        <f>IF(TRIM('ตารางเวร'!$B$25)&lt;&gt;"",999999999,AL17)</f>
        <v/>
      </c>
      <c r="BG17">
        <f>IF(TRIM('ตารางเวร'!$B$26)&lt;&gt;"",999999999,AM17)</f>
        <v/>
      </c>
      <c r="BH17">
        <f>IF(TRIM('ตารางเวร'!$B$27)&lt;&gt;"",999999999,AN17)</f>
        <v/>
      </c>
      <c r="BI17">
        <f>IF(TRIM('ตารางเวร'!$B$28)&lt;&gt;"",999999999,AO17)</f>
        <v/>
      </c>
      <c r="BJ17">
        <f>IF(TRIM('ตารางเวร'!$B$29)&lt;&gt;"",999999999,AP17)</f>
        <v/>
      </c>
      <c r="BK17">
        <f>IF(AND($B17=1,C17&lt;&gt;"",NOT(ISNUMBER(FIND("*",C17)))),1,999999)</f>
        <v/>
      </c>
      <c r="BL17">
        <f>IF(AND($B17=1,D17&lt;&gt;"",NOT(ISNUMBER(FIND("*",D17)))),2,999999)</f>
        <v/>
      </c>
      <c r="BM17">
        <f>IF(AND($B17=1,E17&lt;&gt;"",NOT(ISNUMBER(FIND("*",E17)))),3,999999)</f>
        <v/>
      </c>
      <c r="BN17">
        <f>IF(AND($B17=1,F17&lt;&gt;"",NOT(ISNUMBER(FIND("*",F17)))),4,999999)</f>
        <v/>
      </c>
      <c r="BO17">
        <f>IF(AND($B17=1,G17&lt;&gt;"",NOT(ISNUMBER(FIND("*",G17)))),5,999999)</f>
        <v/>
      </c>
      <c r="BP17">
        <f>IF(AND($B17=1,H17&lt;&gt;"",NOT(ISNUMBER(FIND("*",H17)))),6,999999)</f>
        <v/>
      </c>
      <c r="BQ17">
        <f>IF(AND($B17=1,I17&lt;&gt;"",NOT(ISNUMBER(FIND("*",I17)))),7,999999)</f>
        <v/>
      </c>
      <c r="BR17">
        <f>IF(AND($B17=1,J17&lt;&gt;"",NOT(ISNUMBER(FIND("*",J17)))),8,999999)</f>
        <v/>
      </c>
      <c r="BS17">
        <f>IF(AND($B17=1,K17&lt;&gt;"",NOT(ISNUMBER(FIND("*",K17)))),9,999999)</f>
        <v/>
      </c>
      <c r="BT17">
        <f>IF(AND($B17=1,L17&lt;&gt;"",NOT(ISNUMBER(FIND("*",L17)))),10,999999)</f>
        <v/>
      </c>
      <c r="BU17">
        <f>IF(AND($B17=1,M17&lt;&gt;"",NOT(ISNUMBER(FIND("*",M17)))),11,999999)</f>
        <v/>
      </c>
      <c r="BV17">
        <f>IF(AND($B17=1,N17&lt;&gt;"",NOT(ISNUMBER(FIND("*",N17)))),12,999999)</f>
        <v/>
      </c>
      <c r="BW17">
        <f>IF(AND($B17=1,O17&lt;&gt;"",NOT(ISNUMBER(FIND("*",O17)))),13,999999)</f>
        <v/>
      </c>
      <c r="BX17">
        <f>IF(AND($B17=1,P17&lt;&gt;"",NOT(ISNUMBER(FIND("*",P17)))),14,999999)</f>
        <v/>
      </c>
      <c r="BY17">
        <f>IF(AND($B17=1,Q17&lt;&gt;"",NOT(ISNUMBER(FIND("*",Q17)))),15,999999)</f>
        <v/>
      </c>
      <c r="BZ17">
        <f>IF(AND($B17=1,R17&lt;&gt;"",NOT(ISNUMBER(FIND("*",R17)))),16,999999)</f>
        <v/>
      </c>
      <c r="CA17">
        <f>IF(AND($B17=1,S17&lt;&gt;"",NOT(ISNUMBER(FIND("*",S17)))),17,999999)</f>
        <v/>
      </c>
      <c r="CB17">
        <f>IF(AND($B17=1,T17&lt;&gt;"",NOT(ISNUMBER(FIND("*",T17)))),18,999999)</f>
        <v/>
      </c>
      <c r="CC17">
        <f>IF(AND($B17=1,U17&lt;&gt;"",NOT(ISNUMBER(FIND("*",U17)))),19,999999)</f>
        <v/>
      </c>
      <c r="CD17">
        <f>IF(AND($B17=1,V17&lt;&gt;"",NOT(ISNUMBER(FIND("*",V17)))),20,999999)</f>
        <v/>
      </c>
      <c r="CE17">
        <f>IF(MIN(AQ17:BJ17)&gt;=999999999,0,MATCH(MIN(AQ17:BJ17),AQ17:BJ17,0))</f>
        <v/>
      </c>
      <c r="CF17">
        <f>IF($CE17=1,999999999,W17)</f>
        <v/>
      </c>
      <c r="CG17">
        <f>IF($CE17=2,999999999,X17)</f>
        <v/>
      </c>
      <c r="CH17">
        <f>IF($CE17=3,999999999,Y17)</f>
        <v/>
      </c>
      <c r="CI17">
        <f>IF($CE17=4,999999999,Z17)</f>
        <v/>
      </c>
      <c r="CJ17">
        <f>IF($CE17=5,999999999,AA17)</f>
        <v/>
      </c>
      <c r="CK17">
        <f>IF($CE17=6,999999999,AB17)</f>
        <v/>
      </c>
      <c r="CL17">
        <f>IF($CE17=7,999999999,AC17)</f>
        <v/>
      </c>
      <c r="CM17">
        <f>IF($CE17=8,999999999,AD17)</f>
        <v/>
      </c>
      <c r="CN17">
        <f>IF($CE17=9,999999999,AE17)</f>
        <v/>
      </c>
      <c r="CO17">
        <f>IF($CE17=10,999999999,AF17)</f>
        <v/>
      </c>
      <c r="CP17">
        <f>IF($CE17=11,999999999,AG17)</f>
        <v/>
      </c>
      <c r="CQ17">
        <f>IF($CE17=12,999999999,AH17)</f>
        <v/>
      </c>
      <c r="CR17">
        <f>IF($CE17=13,999999999,AI17)</f>
        <v/>
      </c>
      <c r="CS17">
        <f>IF($CE17=14,999999999,AJ17)</f>
        <v/>
      </c>
      <c r="CT17">
        <f>IF($CE17=15,999999999,AK17)</f>
        <v/>
      </c>
      <c r="CU17">
        <f>IF($CE17=16,999999999,AL17)</f>
        <v/>
      </c>
      <c r="CV17">
        <f>IF($CE17=17,999999999,AM17)</f>
        <v/>
      </c>
      <c r="CW17">
        <f>IF($CE17=18,999999999,AN17)</f>
        <v/>
      </c>
      <c r="CX17">
        <f>IF($CE17=19,999999999,AO17)</f>
        <v/>
      </c>
      <c r="CY17">
        <f>IF($CE17=20,999999999,AP17)</f>
        <v/>
      </c>
      <c r="CZ17">
        <f>COUNTIF(W17:AP17,"&lt;999999999")</f>
        <v/>
      </c>
      <c r="DA17">
        <f>COUNTIF(BK17:CD17,"&lt;999999")</f>
        <v/>
      </c>
      <c r="DB17">
        <f>$CZ17-IF($CE17&gt;0,1,0)</f>
        <v/>
      </c>
      <c r="DC17">
        <f>IF(OR($B17=0,C17=""),0,DC16+1)</f>
        <v/>
      </c>
      <c r="DD17">
        <f>IF(OR($B17=0,D17=""),0,DD16+1)</f>
        <v/>
      </c>
      <c r="DE17">
        <f>IF(OR($B17=0,E17=""),0,DE16+1)</f>
        <v/>
      </c>
      <c r="DF17">
        <f>IF(OR($B17=0,F17=""),0,DF16+1)</f>
        <v/>
      </c>
      <c r="DG17">
        <f>IF(OR($B17=0,G17=""),0,DG16+1)</f>
        <v/>
      </c>
      <c r="DH17">
        <f>IF(OR($B17=0,H17=""),0,DH16+1)</f>
        <v/>
      </c>
      <c r="DI17">
        <f>IF(OR($B17=0,I17=""),0,DI16+1)</f>
        <v/>
      </c>
      <c r="DJ17">
        <f>IF(OR($B17=0,J17=""),0,DJ16+1)</f>
        <v/>
      </c>
      <c r="DK17">
        <f>IF(OR($B17=0,K17=""),0,DK16+1)</f>
        <v/>
      </c>
      <c r="DL17">
        <f>IF(OR($B17=0,L17=""),0,DL16+1)</f>
        <v/>
      </c>
      <c r="DM17">
        <f>IF(OR($B17=0,M17=""),0,DM16+1)</f>
        <v/>
      </c>
      <c r="DN17">
        <f>IF(OR($B17=0,N17=""),0,DN16+1)</f>
        <v/>
      </c>
      <c r="DO17">
        <f>IF(OR($B17=0,O17=""),0,DO16+1)</f>
        <v/>
      </c>
      <c r="DP17">
        <f>IF(OR($B17=0,P17=""),0,DP16+1)</f>
        <v/>
      </c>
      <c r="DQ17">
        <f>IF(OR($B17=0,Q17=""),0,DQ16+1)</f>
        <v/>
      </c>
      <c r="DR17">
        <f>IF(OR($B17=0,R17=""),0,DR16+1)</f>
        <v/>
      </c>
      <c r="DS17">
        <f>IF(OR($B17=0,S17=""),0,DS16+1)</f>
        <v/>
      </c>
      <c r="DT17">
        <f>IF(OR($B17=0,T17=""),0,DT16+1)</f>
        <v/>
      </c>
      <c r="DU17">
        <f>IF(OR($B17=0,U17=""),0,DU16+1)</f>
        <v/>
      </c>
      <c r="DV17">
        <f>IF(OR($B17=0,V17=""),0,DV16+1)</f>
        <v/>
      </c>
      <c r="DW17">
        <f>'ตารางเวร'!Q$7</f>
        <v/>
      </c>
      <c r="DX17">
        <f>IF($B17=0,0,IF(WEEKDAY('ตารางเวร'!Q$6,2)=IFERROR(MATCH('ตารางเวร'!$AM$11,'ตารางเวร'!$AO$10:$AO$17,0),0),1,0))</f>
        <v/>
      </c>
    </row>
    <row r="18">
      <c r="A18" t="n">
        <v>16</v>
      </c>
      <c r="B18">
        <f>IF(16&gt;DAY(EOMONTH(DATE('ตารางเวร'!$B$3-543,'ตารางเวร'!$B$2,1),0)),0,1)</f>
        <v/>
      </c>
      <c r="C18">
        <f>IF($B18=0,"",IFERROR(TRIM(INDEX('ตารางเวร'!$C$10:$AG$29,1,$A18)),""))</f>
        <v/>
      </c>
      <c r="D18">
        <f>IF($B18=0,"",IFERROR(TRIM(INDEX('ตารางเวร'!$C$10:$AG$29,2,$A18)),""))</f>
        <v/>
      </c>
      <c r="E18">
        <f>IF($B18=0,"",IFERROR(TRIM(INDEX('ตารางเวร'!$C$10:$AG$29,3,$A18)),""))</f>
        <v/>
      </c>
      <c r="F18">
        <f>IF($B18=0,"",IFERROR(TRIM(INDEX('ตารางเวร'!$C$10:$AG$29,4,$A18)),""))</f>
        <v/>
      </c>
      <c r="G18">
        <f>IF($B18=0,"",IFERROR(TRIM(INDEX('ตารางเวร'!$C$10:$AG$29,5,$A18)),""))</f>
        <v/>
      </c>
      <c r="H18">
        <f>IF($B18=0,"",IFERROR(TRIM(INDEX('ตารางเวร'!$C$10:$AG$29,6,$A18)),""))</f>
        <v/>
      </c>
      <c r="I18">
        <f>IF($B18=0,"",IFERROR(TRIM(INDEX('ตารางเวร'!$C$10:$AG$29,7,$A18)),""))</f>
        <v/>
      </c>
      <c r="J18">
        <f>IF($B18=0,"",IFERROR(TRIM(INDEX('ตารางเวร'!$C$10:$AG$29,8,$A18)),""))</f>
        <v/>
      </c>
      <c r="K18">
        <f>IF($B18=0,"",IFERROR(TRIM(INDEX('ตารางเวร'!$C$10:$AG$29,9,$A18)),""))</f>
        <v/>
      </c>
      <c r="L18">
        <f>IF($B18=0,"",IFERROR(TRIM(INDEX('ตารางเวร'!$C$10:$AG$29,10,$A18)),""))</f>
        <v/>
      </c>
      <c r="M18">
        <f>IF($B18=0,"",IFERROR(TRIM(INDEX('ตารางเวร'!$C$10:$AG$29,11,$A18)),""))</f>
        <v/>
      </c>
      <c r="N18">
        <f>IF($B18=0,"",IFERROR(TRIM(INDEX('ตารางเวร'!$C$10:$AG$29,12,$A18)),""))</f>
        <v/>
      </c>
      <c r="O18">
        <f>IF($B18=0,"",IFERROR(TRIM(INDEX('ตารางเวร'!$C$10:$AG$29,13,$A18)),""))</f>
        <v/>
      </c>
      <c r="P18">
        <f>IF($B18=0,"",IFERROR(TRIM(INDEX('ตารางเวร'!$C$10:$AG$29,14,$A18)),""))</f>
        <v/>
      </c>
      <c r="Q18">
        <f>IF($B18=0,"",IFERROR(TRIM(INDEX('ตารางเวร'!$C$10:$AG$29,15,$A18)),""))</f>
        <v/>
      </c>
      <c r="R18">
        <f>IF($B18=0,"",IFERROR(TRIM(INDEX('ตารางเวร'!$C$10:$AG$29,16,$A18)),""))</f>
        <v/>
      </c>
      <c r="S18">
        <f>IF($B18=0,"",IFERROR(TRIM(INDEX('ตารางเวร'!$C$10:$AG$29,17,$A18)),""))</f>
        <v/>
      </c>
      <c r="T18">
        <f>IF($B18=0,"",IFERROR(TRIM(INDEX('ตารางเวร'!$C$10:$AG$29,18,$A18)),""))</f>
        <v/>
      </c>
      <c r="U18">
        <f>IF($B18=0,"",IFERROR(TRIM(INDEX('ตารางเวร'!$C$10:$AG$29,19,$A18)),""))</f>
        <v/>
      </c>
      <c r="V18">
        <f>IF($B18=0,"",IFERROR(TRIM(INDEX('ตารางเวร'!$C$10:$AG$29,20,$A18)),""))</f>
        <v/>
      </c>
      <c r="W18">
        <f>IF(AND($B18=1,C18&lt;&gt;"",ISNUMBER(FIND("*",C18))),MOD((MOD('ตารางเวร'!$B$4,9973)*7919+$A18*40289)*(1*104729+7919),99991)*100+1,999999999)</f>
        <v/>
      </c>
      <c r="X18">
        <f>IF(AND($B18=1,D18&lt;&gt;"",ISNUMBER(FIND("*",D18))),MOD((MOD('ตารางเวร'!$B$4,9973)*7919+$A18*40289)*(2*104729+7919),99991)*100+2,999999999)</f>
        <v/>
      </c>
      <c r="Y18">
        <f>IF(AND($B18=1,E18&lt;&gt;"",ISNUMBER(FIND("*",E18))),MOD((MOD('ตารางเวร'!$B$4,9973)*7919+$A18*40289)*(3*104729+7919),99991)*100+3,999999999)</f>
        <v/>
      </c>
      <c r="Z18">
        <f>IF(AND($B18=1,F18&lt;&gt;"",ISNUMBER(FIND("*",F18))),MOD((MOD('ตารางเวร'!$B$4,9973)*7919+$A18*40289)*(4*104729+7919),99991)*100+4,999999999)</f>
        <v/>
      </c>
      <c r="AA18">
        <f>IF(AND($B18=1,G18&lt;&gt;"",ISNUMBER(FIND("*",G18))),MOD((MOD('ตารางเวร'!$B$4,9973)*7919+$A18*40289)*(5*104729+7919),99991)*100+5,999999999)</f>
        <v/>
      </c>
      <c r="AB18">
        <f>IF(AND($B18=1,H18&lt;&gt;"",ISNUMBER(FIND("*",H18))),MOD((MOD('ตารางเวร'!$B$4,9973)*7919+$A18*40289)*(6*104729+7919),99991)*100+6,999999999)</f>
        <v/>
      </c>
      <c r="AC18">
        <f>IF(AND($B18=1,I18&lt;&gt;"",ISNUMBER(FIND("*",I18))),MOD((MOD('ตารางเวร'!$B$4,9973)*7919+$A18*40289)*(7*104729+7919),99991)*100+7,999999999)</f>
        <v/>
      </c>
      <c r="AD18">
        <f>IF(AND($B18=1,J18&lt;&gt;"",ISNUMBER(FIND("*",J18))),MOD((MOD('ตารางเวร'!$B$4,9973)*7919+$A18*40289)*(8*104729+7919),99991)*100+8,999999999)</f>
        <v/>
      </c>
      <c r="AE18">
        <f>IF(AND($B18=1,K18&lt;&gt;"",ISNUMBER(FIND("*",K18))),MOD((MOD('ตารางเวร'!$B$4,9973)*7919+$A18*40289)*(9*104729+7919),99991)*100+9,999999999)</f>
        <v/>
      </c>
      <c r="AF18">
        <f>IF(AND($B18=1,L18&lt;&gt;"",ISNUMBER(FIND("*",L18))),MOD((MOD('ตารางเวร'!$B$4,9973)*7919+$A18*40289)*(10*104729+7919),99991)*100+10,999999999)</f>
        <v/>
      </c>
      <c r="AG18">
        <f>IF(AND($B18=1,M18&lt;&gt;"",ISNUMBER(FIND("*",M18))),MOD((MOD('ตารางเวร'!$B$4,9973)*7919+$A18*40289)*(11*104729+7919),99991)*100+11,999999999)</f>
        <v/>
      </c>
      <c r="AH18">
        <f>IF(AND($B18=1,N18&lt;&gt;"",ISNUMBER(FIND("*",N18))),MOD((MOD('ตารางเวร'!$B$4,9973)*7919+$A18*40289)*(12*104729+7919),99991)*100+12,999999999)</f>
        <v/>
      </c>
      <c r="AI18">
        <f>IF(AND($B18=1,O18&lt;&gt;"",ISNUMBER(FIND("*",O18))),MOD((MOD('ตารางเวร'!$B$4,9973)*7919+$A18*40289)*(13*104729+7919),99991)*100+13,999999999)</f>
        <v/>
      </c>
      <c r="AJ18">
        <f>IF(AND($B18=1,P18&lt;&gt;"",ISNUMBER(FIND("*",P18))),MOD((MOD('ตารางเวร'!$B$4,9973)*7919+$A18*40289)*(14*104729+7919),99991)*100+14,999999999)</f>
        <v/>
      </c>
      <c r="AK18">
        <f>IF(AND($B18=1,Q18&lt;&gt;"",ISNUMBER(FIND("*",Q18))),MOD((MOD('ตารางเวร'!$B$4,9973)*7919+$A18*40289)*(15*104729+7919),99991)*100+15,999999999)</f>
        <v/>
      </c>
      <c r="AL18">
        <f>IF(AND($B18=1,R18&lt;&gt;"",ISNUMBER(FIND("*",R18))),MOD((MOD('ตารางเวร'!$B$4,9973)*7919+$A18*40289)*(16*104729+7919),99991)*100+16,999999999)</f>
        <v/>
      </c>
      <c r="AM18">
        <f>IF(AND($B18=1,S18&lt;&gt;"",ISNUMBER(FIND("*",S18))),MOD((MOD('ตารางเวร'!$B$4,9973)*7919+$A18*40289)*(17*104729+7919),99991)*100+17,999999999)</f>
        <v/>
      </c>
      <c r="AN18">
        <f>IF(AND($B18=1,T18&lt;&gt;"",ISNUMBER(FIND("*",T18))),MOD((MOD('ตารางเวร'!$B$4,9973)*7919+$A18*40289)*(18*104729+7919),99991)*100+18,999999999)</f>
        <v/>
      </c>
      <c r="AO18">
        <f>IF(AND($B18=1,U18&lt;&gt;"",ISNUMBER(FIND("*",U18))),MOD((MOD('ตารางเวร'!$B$4,9973)*7919+$A18*40289)*(19*104729+7919),99991)*100+19,999999999)</f>
        <v/>
      </c>
      <c r="AP18">
        <f>IF(AND($B18=1,V18&lt;&gt;"",ISNUMBER(FIND("*",V18))),MOD((MOD('ตารางเวร'!$B$4,9973)*7919+$A18*40289)*(20*104729+7919),99991)*100+20,999999999)</f>
        <v/>
      </c>
      <c r="AQ18">
        <f>IF(TRIM('ตารางเวร'!$B$10)&lt;&gt;"",999999999,W18)</f>
        <v/>
      </c>
      <c r="AR18">
        <f>IF(TRIM('ตารางเวร'!$B$11)&lt;&gt;"",999999999,X18)</f>
        <v/>
      </c>
      <c r="AS18">
        <f>IF(TRIM('ตารางเวร'!$B$12)&lt;&gt;"",999999999,Y18)</f>
        <v/>
      </c>
      <c r="AT18">
        <f>IF(TRIM('ตารางเวร'!$B$13)&lt;&gt;"",999999999,Z18)</f>
        <v/>
      </c>
      <c r="AU18">
        <f>IF(TRIM('ตารางเวร'!$B$14)&lt;&gt;"",999999999,AA18)</f>
        <v/>
      </c>
      <c r="AV18">
        <f>IF(TRIM('ตารางเวร'!$B$15)&lt;&gt;"",999999999,AB18)</f>
        <v/>
      </c>
      <c r="AW18">
        <f>IF(TRIM('ตารางเวร'!$B$16)&lt;&gt;"",999999999,AC18)</f>
        <v/>
      </c>
      <c r="AX18">
        <f>IF(TRIM('ตารางเวร'!$B$17)&lt;&gt;"",999999999,AD18)</f>
        <v/>
      </c>
      <c r="AY18">
        <f>IF(TRIM('ตารางเวร'!$B$18)&lt;&gt;"",999999999,AE18)</f>
        <v/>
      </c>
      <c r="AZ18">
        <f>IF(TRIM('ตารางเวร'!$B$19)&lt;&gt;"",999999999,AF18)</f>
        <v/>
      </c>
      <c r="BA18">
        <f>IF(TRIM('ตารางเวร'!$B$20)&lt;&gt;"",999999999,AG18)</f>
        <v/>
      </c>
      <c r="BB18">
        <f>IF(TRIM('ตารางเวร'!$B$21)&lt;&gt;"",999999999,AH18)</f>
        <v/>
      </c>
      <c r="BC18">
        <f>IF(TRIM('ตารางเวร'!$B$22)&lt;&gt;"",999999999,AI18)</f>
        <v/>
      </c>
      <c r="BD18">
        <f>IF(TRIM('ตารางเวร'!$B$23)&lt;&gt;"",999999999,AJ18)</f>
        <v/>
      </c>
      <c r="BE18">
        <f>IF(TRIM('ตารางเวร'!$B$24)&lt;&gt;"",999999999,AK18)</f>
        <v/>
      </c>
      <c r="BF18">
        <f>IF(TRIM('ตารางเวร'!$B$25)&lt;&gt;"",999999999,AL18)</f>
        <v/>
      </c>
      <c r="BG18">
        <f>IF(TRIM('ตารางเวร'!$B$26)&lt;&gt;"",999999999,AM18)</f>
        <v/>
      </c>
      <c r="BH18">
        <f>IF(TRIM('ตารางเวร'!$B$27)&lt;&gt;"",999999999,AN18)</f>
        <v/>
      </c>
      <c r="BI18">
        <f>IF(TRIM('ตารางเวร'!$B$28)&lt;&gt;"",999999999,AO18)</f>
        <v/>
      </c>
      <c r="BJ18">
        <f>IF(TRIM('ตารางเวร'!$B$29)&lt;&gt;"",999999999,AP18)</f>
        <v/>
      </c>
      <c r="BK18">
        <f>IF(AND($B18=1,C18&lt;&gt;"",NOT(ISNUMBER(FIND("*",C18)))),1,999999)</f>
        <v/>
      </c>
      <c r="BL18">
        <f>IF(AND($B18=1,D18&lt;&gt;"",NOT(ISNUMBER(FIND("*",D18)))),2,999999)</f>
        <v/>
      </c>
      <c r="BM18">
        <f>IF(AND($B18=1,E18&lt;&gt;"",NOT(ISNUMBER(FIND("*",E18)))),3,999999)</f>
        <v/>
      </c>
      <c r="BN18">
        <f>IF(AND($B18=1,F18&lt;&gt;"",NOT(ISNUMBER(FIND("*",F18)))),4,999999)</f>
        <v/>
      </c>
      <c r="BO18">
        <f>IF(AND($B18=1,G18&lt;&gt;"",NOT(ISNUMBER(FIND("*",G18)))),5,999999)</f>
        <v/>
      </c>
      <c r="BP18">
        <f>IF(AND($B18=1,H18&lt;&gt;"",NOT(ISNUMBER(FIND("*",H18)))),6,999999)</f>
        <v/>
      </c>
      <c r="BQ18">
        <f>IF(AND($B18=1,I18&lt;&gt;"",NOT(ISNUMBER(FIND("*",I18)))),7,999999)</f>
        <v/>
      </c>
      <c r="BR18">
        <f>IF(AND($B18=1,J18&lt;&gt;"",NOT(ISNUMBER(FIND("*",J18)))),8,999999)</f>
        <v/>
      </c>
      <c r="BS18">
        <f>IF(AND($B18=1,K18&lt;&gt;"",NOT(ISNUMBER(FIND("*",K18)))),9,999999)</f>
        <v/>
      </c>
      <c r="BT18">
        <f>IF(AND($B18=1,L18&lt;&gt;"",NOT(ISNUMBER(FIND("*",L18)))),10,999999)</f>
        <v/>
      </c>
      <c r="BU18">
        <f>IF(AND($B18=1,M18&lt;&gt;"",NOT(ISNUMBER(FIND("*",M18)))),11,999999)</f>
        <v/>
      </c>
      <c r="BV18">
        <f>IF(AND($B18=1,N18&lt;&gt;"",NOT(ISNUMBER(FIND("*",N18)))),12,999999)</f>
        <v/>
      </c>
      <c r="BW18">
        <f>IF(AND($B18=1,O18&lt;&gt;"",NOT(ISNUMBER(FIND("*",O18)))),13,999999)</f>
        <v/>
      </c>
      <c r="BX18">
        <f>IF(AND($B18=1,P18&lt;&gt;"",NOT(ISNUMBER(FIND("*",P18)))),14,999999)</f>
        <v/>
      </c>
      <c r="BY18">
        <f>IF(AND($B18=1,Q18&lt;&gt;"",NOT(ISNUMBER(FIND("*",Q18)))),15,999999)</f>
        <v/>
      </c>
      <c r="BZ18">
        <f>IF(AND($B18=1,R18&lt;&gt;"",NOT(ISNUMBER(FIND("*",R18)))),16,999999)</f>
        <v/>
      </c>
      <c r="CA18">
        <f>IF(AND($B18=1,S18&lt;&gt;"",NOT(ISNUMBER(FIND("*",S18)))),17,999999)</f>
        <v/>
      </c>
      <c r="CB18">
        <f>IF(AND($B18=1,T18&lt;&gt;"",NOT(ISNUMBER(FIND("*",T18)))),18,999999)</f>
        <v/>
      </c>
      <c r="CC18">
        <f>IF(AND($B18=1,U18&lt;&gt;"",NOT(ISNUMBER(FIND("*",U18)))),19,999999)</f>
        <v/>
      </c>
      <c r="CD18">
        <f>IF(AND($B18=1,V18&lt;&gt;"",NOT(ISNUMBER(FIND("*",V18)))),20,999999)</f>
        <v/>
      </c>
      <c r="CE18">
        <f>IF(MIN(AQ18:BJ18)&gt;=999999999,0,MATCH(MIN(AQ18:BJ18),AQ18:BJ18,0))</f>
        <v/>
      </c>
      <c r="CF18">
        <f>IF($CE18=1,999999999,W18)</f>
        <v/>
      </c>
      <c r="CG18">
        <f>IF($CE18=2,999999999,X18)</f>
        <v/>
      </c>
      <c r="CH18">
        <f>IF($CE18=3,999999999,Y18)</f>
        <v/>
      </c>
      <c r="CI18">
        <f>IF($CE18=4,999999999,Z18)</f>
        <v/>
      </c>
      <c r="CJ18">
        <f>IF($CE18=5,999999999,AA18)</f>
        <v/>
      </c>
      <c r="CK18">
        <f>IF($CE18=6,999999999,AB18)</f>
        <v/>
      </c>
      <c r="CL18">
        <f>IF($CE18=7,999999999,AC18)</f>
        <v/>
      </c>
      <c r="CM18">
        <f>IF($CE18=8,999999999,AD18)</f>
        <v/>
      </c>
      <c r="CN18">
        <f>IF($CE18=9,999999999,AE18)</f>
        <v/>
      </c>
      <c r="CO18">
        <f>IF($CE18=10,999999999,AF18)</f>
        <v/>
      </c>
      <c r="CP18">
        <f>IF($CE18=11,999999999,AG18)</f>
        <v/>
      </c>
      <c r="CQ18">
        <f>IF($CE18=12,999999999,AH18)</f>
        <v/>
      </c>
      <c r="CR18">
        <f>IF($CE18=13,999999999,AI18)</f>
        <v/>
      </c>
      <c r="CS18">
        <f>IF($CE18=14,999999999,AJ18)</f>
        <v/>
      </c>
      <c r="CT18">
        <f>IF($CE18=15,999999999,AK18)</f>
        <v/>
      </c>
      <c r="CU18">
        <f>IF($CE18=16,999999999,AL18)</f>
        <v/>
      </c>
      <c r="CV18">
        <f>IF($CE18=17,999999999,AM18)</f>
        <v/>
      </c>
      <c r="CW18">
        <f>IF($CE18=18,999999999,AN18)</f>
        <v/>
      </c>
      <c r="CX18">
        <f>IF($CE18=19,999999999,AO18)</f>
        <v/>
      </c>
      <c r="CY18">
        <f>IF($CE18=20,999999999,AP18)</f>
        <v/>
      </c>
      <c r="CZ18">
        <f>COUNTIF(W18:AP18,"&lt;999999999")</f>
        <v/>
      </c>
      <c r="DA18">
        <f>COUNTIF(BK18:CD18,"&lt;999999")</f>
        <v/>
      </c>
      <c r="DB18">
        <f>$CZ18-IF($CE18&gt;0,1,0)</f>
        <v/>
      </c>
      <c r="DC18">
        <f>IF(OR($B18=0,C18=""),0,DC17+1)</f>
        <v/>
      </c>
      <c r="DD18">
        <f>IF(OR($B18=0,D18=""),0,DD17+1)</f>
        <v/>
      </c>
      <c r="DE18">
        <f>IF(OR($B18=0,E18=""),0,DE17+1)</f>
        <v/>
      </c>
      <c r="DF18">
        <f>IF(OR($B18=0,F18=""),0,DF17+1)</f>
        <v/>
      </c>
      <c r="DG18">
        <f>IF(OR($B18=0,G18=""),0,DG17+1)</f>
        <v/>
      </c>
      <c r="DH18">
        <f>IF(OR($B18=0,H18=""),0,DH17+1)</f>
        <v/>
      </c>
      <c r="DI18">
        <f>IF(OR($B18=0,I18=""),0,DI17+1)</f>
        <v/>
      </c>
      <c r="DJ18">
        <f>IF(OR($B18=0,J18=""),0,DJ17+1)</f>
        <v/>
      </c>
      <c r="DK18">
        <f>IF(OR($B18=0,K18=""),0,DK17+1)</f>
        <v/>
      </c>
      <c r="DL18">
        <f>IF(OR($B18=0,L18=""),0,DL17+1)</f>
        <v/>
      </c>
      <c r="DM18">
        <f>IF(OR($B18=0,M18=""),0,DM17+1)</f>
        <v/>
      </c>
      <c r="DN18">
        <f>IF(OR($B18=0,N18=""),0,DN17+1)</f>
        <v/>
      </c>
      <c r="DO18">
        <f>IF(OR($B18=0,O18=""),0,DO17+1)</f>
        <v/>
      </c>
      <c r="DP18">
        <f>IF(OR($B18=0,P18=""),0,DP17+1)</f>
        <v/>
      </c>
      <c r="DQ18">
        <f>IF(OR($B18=0,Q18=""),0,DQ17+1)</f>
        <v/>
      </c>
      <c r="DR18">
        <f>IF(OR($B18=0,R18=""),0,DR17+1)</f>
        <v/>
      </c>
      <c r="DS18">
        <f>IF(OR($B18=0,S18=""),0,DS17+1)</f>
        <v/>
      </c>
      <c r="DT18">
        <f>IF(OR($B18=0,T18=""),0,DT17+1)</f>
        <v/>
      </c>
      <c r="DU18">
        <f>IF(OR($B18=0,U18=""),0,DU17+1)</f>
        <v/>
      </c>
      <c r="DV18">
        <f>IF(OR($B18=0,V18=""),0,DV17+1)</f>
        <v/>
      </c>
      <c r="DW18">
        <f>'ตารางเวร'!R$7</f>
        <v/>
      </c>
      <c r="DX18">
        <f>IF($B18=0,0,IF(WEEKDAY('ตารางเวร'!R$6,2)=IFERROR(MATCH('ตารางเวร'!$AM$11,'ตารางเวร'!$AO$10:$AO$17,0),0),1,0))</f>
        <v/>
      </c>
    </row>
    <row r="19">
      <c r="A19" t="n">
        <v>17</v>
      </c>
      <c r="B19">
        <f>IF(17&gt;DAY(EOMONTH(DATE('ตารางเวร'!$B$3-543,'ตารางเวร'!$B$2,1),0)),0,1)</f>
        <v/>
      </c>
      <c r="C19">
        <f>IF($B19=0,"",IFERROR(TRIM(INDEX('ตารางเวร'!$C$10:$AG$29,1,$A19)),""))</f>
        <v/>
      </c>
      <c r="D19">
        <f>IF($B19=0,"",IFERROR(TRIM(INDEX('ตารางเวร'!$C$10:$AG$29,2,$A19)),""))</f>
        <v/>
      </c>
      <c r="E19">
        <f>IF($B19=0,"",IFERROR(TRIM(INDEX('ตารางเวร'!$C$10:$AG$29,3,$A19)),""))</f>
        <v/>
      </c>
      <c r="F19">
        <f>IF($B19=0,"",IFERROR(TRIM(INDEX('ตารางเวร'!$C$10:$AG$29,4,$A19)),""))</f>
        <v/>
      </c>
      <c r="G19">
        <f>IF($B19=0,"",IFERROR(TRIM(INDEX('ตารางเวร'!$C$10:$AG$29,5,$A19)),""))</f>
        <v/>
      </c>
      <c r="H19">
        <f>IF($B19=0,"",IFERROR(TRIM(INDEX('ตารางเวร'!$C$10:$AG$29,6,$A19)),""))</f>
        <v/>
      </c>
      <c r="I19">
        <f>IF($B19=0,"",IFERROR(TRIM(INDEX('ตารางเวร'!$C$10:$AG$29,7,$A19)),""))</f>
        <v/>
      </c>
      <c r="J19">
        <f>IF($B19=0,"",IFERROR(TRIM(INDEX('ตารางเวร'!$C$10:$AG$29,8,$A19)),""))</f>
        <v/>
      </c>
      <c r="K19">
        <f>IF($B19=0,"",IFERROR(TRIM(INDEX('ตารางเวร'!$C$10:$AG$29,9,$A19)),""))</f>
        <v/>
      </c>
      <c r="L19">
        <f>IF($B19=0,"",IFERROR(TRIM(INDEX('ตารางเวร'!$C$10:$AG$29,10,$A19)),""))</f>
        <v/>
      </c>
      <c r="M19">
        <f>IF($B19=0,"",IFERROR(TRIM(INDEX('ตารางเวร'!$C$10:$AG$29,11,$A19)),""))</f>
        <v/>
      </c>
      <c r="N19">
        <f>IF($B19=0,"",IFERROR(TRIM(INDEX('ตารางเวร'!$C$10:$AG$29,12,$A19)),""))</f>
        <v/>
      </c>
      <c r="O19">
        <f>IF($B19=0,"",IFERROR(TRIM(INDEX('ตารางเวร'!$C$10:$AG$29,13,$A19)),""))</f>
        <v/>
      </c>
      <c r="P19">
        <f>IF($B19=0,"",IFERROR(TRIM(INDEX('ตารางเวร'!$C$10:$AG$29,14,$A19)),""))</f>
        <v/>
      </c>
      <c r="Q19">
        <f>IF($B19=0,"",IFERROR(TRIM(INDEX('ตารางเวร'!$C$10:$AG$29,15,$A19)),""))</f>
        <v/>
      </c>
      <c r="R19">
        <f>IF($B19=0,"",IFERROR(TRIM(INDEX('ตารางเวร'!$C$10:$AG$29,16,$A19)),""))</f>
        <v/>
      </c>
      <c r="S19">
        <f>IF($B19=0,"",IFERROR(TRIM(INDEX('ตารางเวร'!$C$10:$AG$29,17,$A19)),""))</f>
        <v/>
      </c>
      <c r="T19">
        <f>IF($B19=0,"",IFERROR(TRIM(INDEX('ตารางเวร'!$C$10:$AG$29,18,$A19)),""))</f>
        <v/>
      </c>
      <c r="U19">
        <f>IF($B19=0,"",IFERROR(TRIM(INDEX('ตารางเวร'!$C$10:$AG$29,19,$A19)),""))</f>
        <v/>
      </c>
      <c r="V19">
        <f>IF($B19=0,"",IFERROR(TRIM(INDEX('ตารางเวร'!$C$10:$AG$29,20,$A19)),""))</f>
        <v/>
      </c>
      <c r="W19">
        <f>IF(AND($B19=1,C19&lt;&gt;"",ISNUMBER(FIND("*",C19))),MOD((MOD('ตารางเวร'!$B$4,9973)*7919+$A19*40289)*(1*104729+7919),99991)*100+1,999999999)</f>
        <v/>
      </c>
      <c r="X19">
        <f>IF(AND($B19=1,D19&lt;&gt;"",ISNUMBER(FIND("*",D19))),MOD((MOD('ตารางเวร'!$B$4,9973)*7919+$A19*40289)*(2*104729+7919),99991)*100+2,999999999)</f>
        <v/>
      </c>
      <c r="Y19">
        <f>IF(AND($B19=1,E19&lt;&gt;"",ISNUMBER(FIND("*",E19))),MOD((MOD('ตารางเวร'!$B$4,9973)*7919+$A19*40289)*(3*104729+7919),99991)*100+3,999999999)</f>
        <v/>
      </c>
      <c r="Z19">
        <f>IF(AND($B19=1,F19&lt;&gt;"",ISNUMBER(FIND("*",F19))),MOD((MOD('ตารางเวร'!$B$4,9973)*7919+$A19*40289)*(4*104729+7919),99991)*100+4,999999999)</f>
        <v/>
      </c>
      <c r="AA19">
        <f>IF(AND($B19=1,G19&lt;&gt;"",ISNUMBER(FIND("*",G19))),MOD((MOD('ตารางเวร'!$B$4,9973)*7919+$A19*40289)*(5*104729+7919),99991)*100+5,999999999)</f>
        <v/>
      </c>
      <c r="AB19">
        <f>IF(AND($B19=1,H19&lt;&gt;"",ISNUMBER(FIND("*",H19))),MOD((MOD('ตารางเวร'!$B$4,9973)*7919+$A19*40289)*(6*104729+7919),99991)*100+6,999999999)</f>
        <v/>
      </c>
      <c r="AC19">
        <f>IF(AND($B19=1,I19&lt;&gt;"",ISNUMBER(FIND("*",I19))),MOD((MOD('ตารางเวร'!$B$4,9973)*7919+$A19*40289)*(7*104729+7919),99991)*100+7,999999999)</f>
        <v/>
      </c>
      <c r="AD19">
        <f>IF(AND($B19=1,J19&lt;&gt;"",ISNUMBER(FIND("*",J19))),MOD((MOD('ตารางเวร'!$B$4,9973)*7919+$A19*40289)*(8*104729+7919),99991)*100+8,999999999)</f>
        <v/>
      </c>
      <c r="AE19">
        <f>IF(AND($B19=1,K19&lt;&gt;"",ISNUMBER(FIND("*",K19))),MOD((MOD('ตารางเวร'!$B$4,9973)*7919+$A19*40289)*(9*104729+7919),99991)*100+9,999999999)</f>
        <v/>
      </c>
      <c r="AF19">
        <f>IF(AND($B19=1,L19&lt;&gt;"",ISNUMBER(FIND("*",L19))),MOD((MOD('ตารางเวร'!$B$4,9973)*7919+$A19*40289)*(10*104729+7919),99991)*100+10,999999999)</f>
        <v/>
      </c>
      <c r="AG19">
        <f>IF(AND($B19=1,M19&lt;&gt;"",ISNUMBER(FIND("*",M19))),MOD((MOD('ตารางเวร'!$B$4,9973)*7919+$A19*40289)*(11*104729+7919),99991)*100+11,999999999)</f>
        <v/>
      </c>
      <c r="AH19">
        <f>IF(AND($B19=1,N19&lt;&gt;"",ISNUMBER(FIND("*",N19))),MOD((MOD('ตารางเวร'!$B$4,9973)*7919+$A19*40289)*(12*104729+7919),99991)*100+12,999999999)</f>
        <v/>
      </c>
      <c r="AI19">
        <f>IF(AND($B19=1,O19&lt;&gt;"",ISNUMBER(FIND("*",O19))),MOD((MOD('ตารางเวร'!$B$4,9973)*7919+$A19*40289)*(13*104729+7919),99991)*100+13,999999999)</f>
        <v/>
      </c>
      <c r="AJ19">
        <f>IF(AND($B19=1,P19&lt;&gt;"",ISNUMBER(FIND("*",P19))),MOD((MOD('ตารางเวร'!$B$4,9973)*7919+$A19*40289)*(14*104729+7919),99991)*100+14,999999999)</f>
        <v/>
      </c>
      <c r="AK19">
        <f>IF(AND($B19=1,Q19&lt;&gt;"",ISNUMBER(FIND("*",Q19))),MOD((MOD('ตารางเวร'!$B$4,9973)*7919+$A19*40289)*(15*104729+7919),99991)*100+15,999999999)</f>
        <v/>
      </c>
      <c r="AL19">
        <f>IF(AND($B19=1,R19&lt;&gt;"",ISNUMBER(FIND("*",R19))),MOD((MOD('ตารางเวร'!$B$4,9973)*7919+$A19*40289)*(16*104729+7919),99991)*100+16,999999999)</f>
        <v/>
      </c>
      <c r="AM19">
        <f>IF(AND($B19=1,S19&lt;&gt;"",ISNUMBER(FIND("*",S19))),MOD((MOD('ตารางเวร'!$B$4,9973)*7919+$A19*40289)*(17*104729+7919),99991)*100+17,999999999)</f>
        <v/>
      </c>
      <c r="AN19">
        <f>IF(AND($B19=1,T19&lt;&gt;"",ISNUMBER(FIND("*",T19))),MOD((MOD('ตารางเวร'!$B$4,9973)*7919+$A19*40289)*(18*104729+7919),99991)*100+18,999999999)</f>
        <v/>
      </c>
      <c r="AO19">
        <f>IF(AND($B19=1,U19&lt;&gt;"",ISNUMBER(FIND("*",U19))),MOD((MOD('ตารางเวร'!$B$4,9973)*7919+$A19*40289)*(19*104729+7919),99991)*100+19,999999999)</f>
        <v/>
      </c>
      <c r="AP19">
        <f>IF(AND($B19=1,V19&lt;&gt;"",ISNUMBER(FIND("*",V19))),MOD((MOD('ตารางเวร'!$B$4,9973)*7919+$A19*40289)*(20*104729+7919),99991)*100+20,999999999)</f>
        <v/>
      </c>
      <c r="AQ19">
        <f>IF(TRIM('ตารางเวร'!$B$10)&lt;&gt;"",999999999,W19)</f>
        <v/>
      </c>
      <c r="AR19">
        <f>IF(TRIM('ตารางเวร'!$B$11)&lt;&gt;"",999999999,X19)</f>
        <v/>
      </c>
      <c r="AS19">
        <f>IF(TRIM('ตารางเวร'!$B$12)&lt;&gt;"",999999999,Y19)</f>
        <v/>
      </c>
      <c r="AT19">
        <f>IF(TRIM('ตารางเวร'!$B$13)&lt;&gt;"",999999999,Z19)</f>
        <v/>
      </c>
      <c r="AU19">
        <f>IF(TRIM('ตารางเวร'!$B$14)&lt;&gt;"",999999999,AA19)</f>
        <v/>
      </c>
      <c r="AV19">
        <f>IF(TRIM('ตารางเวร'!$B$15)&lt;&gt;"",999999999,AB19)</f>
        <v/>
      </c>
      <c r="AW19">
        <f>IF(TRIM('ตารางเวร'!$B$16)&lt;&gt;"",999999999,AC19)</f>
        <v/>
      </c>
      <c r="AX19">
        <f>IF(TRIM('ตารางเวร'!$B$17)&lt;&gt;"",999999999,AD19)</f>
        <v/>
      </c>
      <c r="AY19">
        <f>IF(TRIM('ตารางเวร'!$B$18)&lt;&gt;"",999999999,AE19)</f>
        <v/>
      </c>
      <c r="AZ19">
        <f>IF(TRIM('ตารางเวร'!$B$19)&lt;&gt;"",999999999,AF19)</f>
        <v/>
      </c>
      <c r="BA19">
        <f>IF(TRIM('ตารางเวร'!$B$20)&lt;&gt;"",999999999,AG19)</f>
        <v/>
      </c>
      <c r="BB19">
        <f>IF(TRIM('ตารางเวร'!$B$21)&lt;&gt;"",999999999,AH19)</f>
        <v/>
      </c>
      <c r="BC19">
        <f>IF(TRIM('ตารางเวร'!$B$22)&lt;&gt;"",999999999,AI19)</f>
        <v/>
      </c>
      <c r="BD19">
        <f>IF(TRIM('ตารางเวร'!$B$23)&lt;&gt;"",999999999,AJ19)</f>
        <v/>
      </c>
      <c r="BE19">
        <f>IF(TRIM('ตารางเวร'!$B$24)&lt;&gt;"",999999999,AK19)</f>
        <v/>
      </c>
      <c r="BF19">
        <f>IF(TRIM('ตารางเวร'!$B$25)&lt;&gt;"",999999999,AL19)</f>
        <v/>
      </c>
      <c r="BG19">
        <f>IF(TRIM('ตารางเวร'!$B$26)&lt;&gt;"",999999999,AM19)</f>
        <v/>
      </c>
      <c r="BH19">
        <f>IF(TRIM('ตารางเวร'!$B$27)&lt;&gt;"",999999999,AN19)</f>
        <v/>
      </c>
      <c r="BI19">
        <f>IF(TRIM('ตารางเวร'!$B$28)&lt;&gt;"",999999999,AO19)</f>
        <v/>
      </c>
      <c r="BJ19">
        <f>IF(TRIM('ตารางเวร'!$B$29)&lt;&gt;"",999999999,AP19)</f>
        <v/>
      </c>
      <c r="BK19">
        <f>IF(AND($B19=1,C19&lt;&gt;"",NOT(ISNUMBER(FIND("*",C19)))),1,999999)</f>
        <v/>
      </c>
      <c r="BL19">
        <f>IF(AND($B19=1,D19&lt;&gt;"",NOT(ISNUMBER(FIND("*",D19)))),2,999999)</f>
        <v/>
      </c>
      <c r="BM19">
        <f>IF(AND($B19=1,E19&lt;&gt;"",NOT(ISNUMBER(FIND("*",E19)))),3,999999)</f>
        <v/>
      </c>
      <c r="BN19">
        <f>IF(AND($B19=1,F19&lt;&gt;"",NOT(ISNUMBER(FIND("*",F19)))),4,999999)</f>
        <v/>
      </c>
      <c r="BO19">
        <f>IF(AND($B19=1,G19&lt;&gt;"",NOT(ISNUMBER(FIND("*",G19)))),5,999999)</f>
        <v/>
      </c>
      <c r="BP19">
        <f>IF(AND($B19=1,H19&lt;&gt;"",NOT(ISNUMBER(FIND("*",H19)))),6,999999)</f>
        <v/>
      </c>
      <c r="BQ19">
        <f>IF(AND($B19=1,I19&lt;&gt;"",NOT(ISNUMBER(FIND("*",I19)))),7,999999)</f>
        <v/>
      </c>
      <c r="BR19">
        <f>IF(AND($B19=1,J19&lt;&gt;"",NOT(ISNUMBER(FIND("*",J19)))),8,999999)</f>
        <v/>
      </c>
      <c r="BS19">
        <f>IF(AND($B19=1,K19&lt;&gt;"",NOT(ISNUMBER(FIND("*",K19)))),9,999999)</f>
        <v/>
      </c>
      <c r="BT19">
        <f>IF(AND($B19=1,L19&lt;&gt;"",NOT(ISNUMBER(FIND("*",L19)))),10,999999)</f>
        <v/>
      </c>
      <c r="BU19">
        <f>IF(AND($B19=1,M19&lt;&gt;"",NOT(ISNUMBER(FIND("*",M19)))),11,999999)</f>
        <v/>
      </c>
      <c r="BV19">
        <f>IF(AND($B19=1,N19&lt;&gt;"",NOT(ISNUMBER(FIND("*",N19)))),12,999999)</f>
        <v/>
      </c>
      <c r="BW19">
        <f>IF(AND($B19=1,O19&lt;&gt;"",NOT(ISNUMBER(FIND("*",O19)))),13,999999)</f>
        <v/>
      </c>
      <c r="BX19">
        <f>IF(AND($B19=1,P19&lt;&gt;"",NOT(ISNUMBER(FIND("*",P19)))),14,999999)</f>
        <v/>
      </c>
      <c r="BY19">
        <f>IF(AND($B19=1,Q19&lt;&gt;"",NOT(ISNUMBER(FIND("*",Q19)))),15,999999)</f>
        <v/>
      </c>
      <c r="BZ19">
        <f>IF(AND($B19=1,R19&lt;&gt;"",NOT(ISNUMBER(FIND("*",R19)))),16,999999)</f>
        <v/>
      </c>
      <c r="CA19">
        <f>IF(AND($B19=1,S19&lt;&gt;"",NOT(ISNUMBER(FIND("*",S19)))),17,999999)</f>
        <v/>
      </c>
      <c r="CB19">
        <f>IF(AND($B19=1,T19&lt;&gt;"",NOT(ISNUMBER(FIND("*",T19)))),18,999999)</f>
        <v/>
      </c>
      <c r="CC19">
        <f>IF(AND($B19=1,U19&lt;&gt;"",NOT(ISNUMBER(FIND("*",U19)))),19,999999)</f>
        <v/>
      </c>
      <c r="CD19">
        <f>IF(AND($B19=1,V19&lt;&gt;"",NOT(ISNUMBER(FIND("*",V19)))),20,999999)</f>
        <v/>
      </c>
      <c r="CE19">
        <f>IF(MIN(AQ19:BJ19)&gt;=999999999,0,MATCH(MIN(AQ19:BJ19),AQ19:BJ19,0))</f>
        <v/>
      </c>
      <c r="CF19">
        <f>IF($CE19=1,999999999,W19)</f>
        <v/>
      </c>
      <c r="CG19">
        <f>IF($CE19=2,999999999,X19)</f>
        <v/>
      </c>
      <c r="CH19">
        <f>IF($CE19=3,999999999,Y19)</f>
        <v/>
      </c>
      <c r="CI19">
        <f>IF($CE19=4,999999999,Z19)</f>
        <v/>
      </c>
      <c r="CJ19">
        <f>IF($CE19=5,999999999,AA19)</f>
        <v/>
      </c>
      <c r="CK19">
        <f>IF($CE19=6,999999999,AB19)</f>
        <v/>
      </c>
      <c r="CL19">
        <f>IF($CE19=7,999999999,AC19)</f>
        <v/>
      </c>
      <c r="CM19">
        <f>IF($CE19=8,999999999,AD19)</f>
        <v/>
      </c>
      <c r="CN19">
        <f>IF($CE19=9,999999999,AE19)</f>
        <v/>
      </c>
      <c r="CO19">
        <f>IF($CE19=10,999999999,AF19)</f>
        <v/>
      </c>
      <c r="CP19">
        <f>IF($CE19=11,999999999,AG19)</f>
        <v/>
      </c>
      <c r="CQ19">
        <f>IF($CE19=12,999999999,AH19)</f>
        <v/>
      </c>
      <c r="CR19">
        <f>IF($CE19=13,999999999,AI19)</f>
        <v/>
      </c>
      <c r="CS19">
        <f>IF($CE19=14,999999999,AJ19)</f>
        <v/>
      </c>
      <c r="CT19">
        <f>IF($CE19=15,999999999,AK19)</f>
        <v/>
      </c>
      <c r="CU19">
        <f>IF($CE19=16,999999999,AL19)</f>
        <v/>
      </c>
      <c r="CV19">
        <f>IF($CE19=17,999999999,AM19)</f>
        <v/>
      </c>
      <c r="CW19">
        <f>IF($CE19=18,999999999,AN19)</f>
        <v/>
      </c>
      <c r="CX19">
        <f>IF($CE19=19,999999999,AO19)</f>
        <v/>
      </c>
      <c r="CY19">
        <f>IF($CE19=20,999999999,AP19)</f>
        <v/>
      </c>
      <c r="CZ19">
        <f>COUNTIF(W19:AP19,"&lt;999999999")</f>
        <v/>
      </c>
      <c r="DA19">
        <f>COUNTIF(BK19:CD19,"&lt;999999")</f>
        <v/>
      </c>
      <c r="DB19">
        <f>$CZ19-IF($CE19&gt;0,1,0)</f>
        <v/>
      </c>
      <c r="DC19">
        <f>IF(OR($B19=0,C19=""),0,DC18+1)</f>
        <v/>
      </c>
      <c r="DD19">
        <f>IF(OR($B19=0,D19=""),0,DD18+1)</f>
        <v/>
      </c>
      <c r="DE19">
        <f>IF(OR($B19=0,E19=""),0,DE18+1)</f>
        <v/>
      </c>
      <c r="DF19">
        <f>IF(OR($B19=0,F19=""),0,DF18+1)</f>
        <v/>
      </c>
      <c r="DG19">
        <f>IF(OR($B19=0,G19=""),0,DG18+1)</f>
        <v/>
      </c>
      <c r="DH19">
        <f>IF(OR($B19=0,H19=""),0,DH18+1)</f>
        <v/>
      </c>
      <c r="DI19">
        <f>IF(OR($B19=0,I19=""),0,DI18+1)</f>
        <v/>
      </c>
      <c r="DJ19">
        <f>IF(OR($B19=0,J19=""),0,DJ18+1)</f>
        <v/>
      </c>
      <c r="DK19">
        <f>IF(OR($B19=0,K19=""),0,DK18+1)</f>
        <v/>
      </c>
      <c r="DL19">
        <f>IF(OR($B19=0,L19=""),0,DL18+1)</f>
        <v/>
      </c>
      <c r="DM19">
        <f>IF(OR($B19=0,M19=""),0,DM18+1)</f>
        <v/>
      </c>
      <c r="DN19">
        <f>IF(OR($B19=0,N19=""),0,DN18+1)</f>
        <v/>
      </c>
      <c r="DO19">
        <f>IF(OR($B19=0,O19=""),0,DO18+1)</f>
        <v/>
      </c>
      <c r="DP19">
        <f>IF(OR($B19=0,P19=""),0,DP18+1)</f>
        <v/>
      </c>
      <c r="DQ19">
        <f>IF(OR($B19=0,Q19=""),0,DQ18+1)</f>
        <v/>
      </c>
      <c r="DR19">
        <f>IF(OR($B19=0,R19=""),0,DR18+1)</f>
        <v/>
      </c>
      <c r="DS19">
        <f>IF(OR($B19=0,S19=""),0,DS18+1)</f>
        <v/>
      </c>
      <c r="DT19">
        <f>IF(OR($B19=0,T19=""),0,DT18+1)</f>
        <v/>
      </c>
      <c r="DU19">
        <f>IF(OR($B19=0,U19=""),0,DU18+1)</f>
        <v/>
      </c>
      <c r="DV19">
        <f>IF(OR($B19=0,V19=""),0,DV18+1)</f>
        <v/>
      </c>
      <c r="DW19">
        <f>'ตารางเวร'!S$7</f>
        <v/>
      </c>
      <c r="DX19">
        <f>IF($B19=0,0,IF(WEEKDAY('ตารางเวร'!S$6,2)=IFERROR(MATCH('ตารางเวร'!$AM$11,'ตารางเวร'!$AO$10:$AO$17,0),0),1,0))</f>
        <v/>
      </c>
    </row>
    <row r="20">
      <c r="A20" t="n">
        <v>18</v>
      </c>
      <c r="B20">
        <f>IF(18&gt;DAY(EOMONTH(DATE('ตารางเวร'!$B$3-543,'ตารางเวร'!$B$2,1),0)),0,1)</f>
        <v/>
      </c>
      <c r="C20">
        <f>IF($B20=0,"",IFERROR(TRIM(INDEX('ตารางเวร'!$C$10:$AG$29,1,$A20)),""))</f>
        <v/>
      </c>
      <c r="D20">
        <f>IF($B20=0,"",IFERROR(TRIM(INDEX('ตารางเวร'!$C$10:$AG$29,2,$A20)),""))</f>
        <v/>
      </c>
      <c r="E20">
        <f>IF($B20=0,"",IFERROR(TRIM(INDEX('ตารางเวร'!$C$10:$AG$29,3,$A20)),""))</f>
        <v/>
      </c>
      <c r="F20">
        <f>IF($B20=0,"",IFERROR(TRIM(INDEX('ตารางเวร'!$C$10:$AG$29,4,$A20)),""))</f>
        <v/>
      </c>
      <c r="G20">
        <f>IF($B20=0,"",IFERROR(TRIM(INDEX('ตารางเวร'!$C$10:$AG$29,5,$A20)),""))</f>
        <v/>
      </c>
      <c r="H20">
        <f>IF($B20=0,"",IFERROR(TRIM(INDEX('ตารางเวร'!$C$10:$AG$29,6,$A20)),""))</f>
        <v/>
      </c>
      <c r="I20">
        <f>IF($B20=0,"",IFERROR(TRIM(INDEX('ตารางเวร'!$C$10:$AG$29,7,$A20)),""))</f>
        <v/>
      </c>
      <c r="J20">
        <f>IF($B20=0,"",IFERROR(TRIM(INDEX('ตารางเวร'!$C$10:$AG$29,8,$A20)),""))</f>
        <v/>
      </c>
      <c r="K20">
        <f>IF($B20=0,"",IFERROR(TRIM(INDEX('ตารางเวร'!$C$10:$AG$29,9,$A20)),""))</f>
        <v/>
      </c>
      <c r="L20">
        <f>IF($B20=0,"",IFERROR(TRIM(INDEX('ตารางเวร'!$C$10:$AG$29,10,$A20)),""))</f>
        <v/>
      </c>
      <c r="M20">
        <f>IF($B20=0,"",IFERROR(TRIM(INDEX('ตารางเวร'!$C$10:$AG$29,11,$A20)),""))</f>
        <v/>
      </c>
      <c r="N20">
        <f>IF($B20=0,"",IFERROR(TRIM(INDEX('ตารางเวร'!$C$10:$AG$29,12,$A20)),""))</f>
        <v/>
      </c>
      <c r="O20">
        <f>IF($B20=0,"",IFERROR(TRIM(INDEX('ตารางเวร'!$C$10:$AG$29,13,$A20)),""))</f>
        <v/>
      </c>
      <c r="P20">
        <f>IF($B20=0,"",IFERROR(TRIM(INDEX('ตารางเวร'!$C$10:$AG$29,14,$A20)),""))</f>
        <v/>
      </c>
      <c r="Q20">
        <f>IF($B20=0,"",IFERROR(TRIM(INDEX('ตารางเวร'!$C$10:$AG$29,15,$A20)),""))</f>
        <v/>
      </c>
      <c r="R20">
        <f>IF($B20=0,"",IFERROR(TRIM(INDEX('ตารางเวร'!$C$10:$AG$29,16,$A20)),""))</f>
        <v/>
      </c>
      <c r="S20">
        <f>IF($B20=0,"",IFERROR(TRIM(INDEX('ตารางเวร'!$C$10:$AG$29,17,$A20)),""))</f>
        <v/>
      </c>
      <c r="T20">
        <f>IF($B20=0,"",IFERROR(TRIM(INDEX('ตารางเวร'!$C$10:$AG$29,18,$A20)),""))</f>
        <v/>
      </c>
      <c r="U20">
        <f>IF($B20=0,"",IFERROR(TRIM(INDEX('ตารางเวร'!$C$10:$AG$29,19,$A20)),""))</f>
        <v/>
      </c>
      <c r="V20">
        <f>IF($B20=0,"",IFERROR(TRIM(INDEX('ตารางเวร'!$C$10:$AG$29,20,$A20)),""))</f>
        <v/>
      </c>
      <c r="W20">
        <f>IF(AND($B20=1,C20&lt;&gt;"",ISNUMBER(FIND("*",C20))),MOD((MOD('ตารางเวร'!$B$4,9973)*7919+$A20*40289)*(1*104729+7919),99991)*100+1,999999999)</f>
        <v/>
      </c>
      <c r="X20">
        <f>IF(AND($B20=1,D20&lt;&gt;"",ISNUMBER(FIND("*",D20))),MOD((MOD('ตารางเวร'!$B$4,9973)*7919+$A20*40289)*(2*104729+7919),99991)*100+2,999999999)</f>
        <v/>
      </c>
      <c r="Y20">
        <f>IF(AND($B20=1,E20&lt;&gt;"",ISNUMBER(FIND("*",E20))),MOD((MOD('ตารางเวร'!$B$4,9973)*7919+$A20*40289)*(3*104729+7919),99991)*100+3,999999999)</f>
        <v/>
      </c>
      <c r="Z20">
        <f>IF(AND($B20=1,F20&lt;&gt;"",ISNUMBER(FIND("*",F20))),MOD((MOD('ตารางเวร'!$B$4,9973)*7919+$A20*40289)*(4*104729+7919),99991)*100+4,999999999)</f>
        <v/>
      </c>
      <c r="AA20">
        <f>IF(AND($B20=1,G20&lt;&gt;"",ISNUMBER(FIND("*",G20))),MOD((MOD('ตารางเวร'!$B$4,9973)*7919+$A20*40289)*(5*104729+7919),99991)*100+5,999999999)</f>
        <v/>
      </c>
      <c r="AB20">
        <f>IF(AND($B20=1,H20&lt;&gt;"",ISNUMBER(FIND("*",H20))),MOD((MOD('ตารางเวร'!$B$4,9973)*7919+$A20*40289)*(6*104729+7919),99991)*100+6,999999999)</f>
        <v/>
      </c>
      <c r="AC20">
        <f>IF(AND($B20=1,I20&lt;&gt;"",ISNUMBER(FIND("*",I20))),MOD((MOD('ตารางเวร'!$B$4,9973)*7919+$A20*40289)*(7*104729+7919),99991)*100+7,999999999)</f>
        <v/>
      </c>
      <c r="AD20">
        <f>IF(AND($B20=1,J20&lt;&gt;"",ISNUMBER(FIND("*",J20))),MOD((MOD('ตารางเวร'!$B$4,9973)*7919+$A20*40289)*(8*104729+7919),99991)*100+8,999999999)</f>
        <v/>
      </c>
      <c r="AE20">
        <f>IF(AND($B20=1,K20&lt;&gt;"",ISNUMBER(FIND("*",K20))),MOD((MOD('ตารางเวร'!$B$4,9973)*7919+$A20*40289)*(9*104729+7919),99991)*100+9,999999999)</f>
        <v/>
      </c>
      <c r="AF20">
        <f>IF(AND($B20=1,L20&lt;&gt;"",ISNUMBER(FIND("*",L20))),MOD((MOD('ตารางเวร'!$B$4,9973)*7919+$A20*40289)*(10*104729+7919),99991)*100+10,999999999)</f>
        <v/>
      </c>
      <c r="AG20">
        <f>IF(AND($B20=1,M20&lt;&gt;"",ISNUMBER(FIND("*",M20))),MOD((MOD('ตารางเวร'!$B$4,9973)*7919+$A20*40289)*(11*104729+7919),99991)*100+11,999999999)</f>
        <v/>
      </c>
      <c r="AH20">
        <f>IF(AND($B20=1,N20&lt;&gt;"",ISNUMBER(FIND("*",N20))),MOD((MOD('ตารางเวร'!$B$4,9973)*7919+$A20*40289)*(12*104729+7919),99991)*100+12,999999999)</f>
        <v/>
      </c>
      <c r="AI20">
        <f>IF(AND($B20=1,O20&lt;&gt;"",ISNUMBER(FIND("*",O20))),MOD((MOD('ตารางเวร'!$B$4,9973)*7919+$A20*40289)*(13*104729+7919),99991)*100+13,999999999)</f>
        <v/>
      </c>
      <c r="AJ20">
        <f>IF(AND($B20=1,P20&lt;&gt;"",ISNUMBER(FIND("*",P20))),MOD((MOD('ตารางเวร'!$B$4,9973)*7919+$A20*40289)*(14*104729+7919),99991)*100+14,999999999)</f>
        <v/>
      </c>
      <c r="AK20">
        <f>IF(AND($B20=1,Q20&lt;&gt;"",ISNUMBER(FIND("*",Q20))),MOD((MOD('ตารางเวร'!$B$4,9973)*7919+$A20*40289)*(15*104729+7919),99991)*100+15,999999999)</f>
        <v/>
      </c>
      <c r="AL20">
        <f>IF(AND($B20=1,R20&lt;&gt;"",ISNUMBER(FIND("*",R20))),MOD((MOD('ตารางเวร'!$B$4,9973)*7919+$A20*40289)*(16*104729+7919),99991)*100+16,999999999)</f>
        <v/>
      </c>
      <c r="AM20">
        <f>IF(AND($B20=1,S20&lt;&gt;"",ISNUMBER(FIND("*",S20))),MOD((MOD('ตารางเวร'!$B$4,9973)*7919+$A20*40289)*(17*104729+7919),99991)*100+17,999999999)</f>
        <v/>
      </c>
      <c r="AN20">
        <f>IF(AND($B20=1,T20&lt;&gt;"",ISNUMBER(FIND("*",T20))),MOD((MOD('ตารางเวร'!$B$4,9973)*7919+$A20*40289)*(18*104729+7919),99991)*100+18,999999999)</f>
        <v/>
      </c>
      <c r="AO20">
        <f>IF(AND($B20=1,U20&lt;&gt;"",ISNUMBER(FIND("*",U20))),MOD((MOD('ตารางเวร'!$B$4,9973)*7919+$A20*40289)*(19*104729+7919),99991)*100+19,999999999)</f>
        <v/>
      </c>
      <c r="AP20">
        <f>IF(AND($B20=1,V20&lt;&gt;"",ISNUMBER(FIND("*",V20))),MOD((MOD('ตารางเวร'!$B$4,9973)*7919+$A20*40289)*(20*104729+7919),99991)*100+20,999999999)</f>
        <v/>
      </c>
      <c r="AQ20">
        <f>IF(TRIM('ตารางเวร'!$B$10)&lt;&gt;"",999999999,W20)</f>
        <v/>
      </c>
      <c r="AR20">
        <f>IF(TRIM('ตารางเวร'!$B$11)&lt;&gt;"",999999999,X20)</f>
        <v/>
      </c>
      <c r="AS20">
        <f>IF(TRIM('ตารางเวร'!$B$12)&lt;&gt;"",999999999,Y20)</f>
        <v/>
      </c>
      <c r="AT20">
        <f>IF(TRIM('ตารางเวร'!$B$13)&lt;&gt;"",999999999,Z20)</f>
        <v/>
      </c>
      <c r="AU20">
        <f>IF(TRIM('ตารางเวร'!$B$14)&lt;&gt;"",999999999,AA20)</f>
        <v/>
      </c>
      <c r="AV20">
        <f>IF(TRIM('ตารางเวร'!$B$15)&lt;&gt;"",999999999,AB20)</f>
        <v/>
      </c>
      <c r="AW20">
        <f>IF(TRIM('ตารางเวร'!$B$16)&lt;&gt;"",999999999,AC20)</f>
        <v/>
      </c>
      <c r="AX20">
        <f>IF(TRIM('ตารางเวร'!$B$17)&lt;&gt;"",999999999,AD20)</f>
        <v/>
      </c>
      <c r="AY20">
        <f>IF(TRIM('ตารางเวร'!$B$18)&lt;&gt;"",999999999,AE20)</f>
        <v/>
      </c>
      <c r="AZ20">
        <f>IF(TRIM('ตารางเวร'!$B$19)&lt;&gt;"",999999999,AF20)</f>
        <v/>
      </c>
      <c r="BA20">
        <f>IF(TRIM('ตารางเวร'!$B$20)&lt;&gt;"",999999999,AG20)</f>
        <v/>
      </c>
      <c r="BB20">
        <f>IF(TRIM('ตารางเวร'!$B$21)&lt;&gt;"",999999999,AH20)</f>
        <v/>
      </c>
      <c r="BC20">
        <f>IF(TRIM('ตารางเวร'!$B$22)&lt;&gt;"",999999999,AI20)</f>
        <v/>
      </c>
      <c r="BD20">
        <f>IF(TRIM('ตารางเวร'!$B$23)&lt;&gt;"",999999999,AJ20)</f>
        <v/>
      </c>
      <c r="BE20">
        <f>IF(TRIM('ตารางเวร'!$B$24)&lt;&gt;"",999999999,AK20)</f>
        <v/>
      </c>
      <c r="BF20">
        <f>IF(TRIM('ตารางเวร'!$B$25)&lt;&gt;"",999999999,AL20)</f>
        <v/>
      </c>
      <c r="BG20">
        <f>IF(TRIM('ตารางเวร'!$B$26)&lt;&gt;"",999999999,AM20)</f>
        <v/>
      </c>
      <c r="BH20">
        <f>IF(TRIM('ตารางเวร'!$B$27)&lt;&gt;"",999999999,AN20)</f>
        <v/>
      </c>
      <c r="BI20">
        <f>IF(TRIM('ตารางเวร'!$B$28)&lt;&gt;"",999999999,AO20)</f>
        <v/>
      </c>
      <c r="BJ20">
        <f>IF(TRIM('ตารางเวร'!$B$29)&lt;&gt;"",999999999,AP20)</f>
        <v/>
      </c>
      <c r="BK20">
        <f>IF(AND($B20=1,C20&lt;&gt;"",NOT(ISNUMBER(FIND("*",C20)))),1,999999)</f>
        <v/>
      </c>
      <c r="BL20">
        <f>IF(AND($B20=1,D20&lt;&gt;"",NOT(ISNUMBER(FIND("*",D20)))),2,999999)</f>
        <v/>
      </c>
      <c r="BM20">
        <f>IF(AND($B20=1,E20&lt;&gt;"",NOT(ISNUMBER(FIND("*",E20)))),3,999999)</f>
        <v/>
      </c>
      <c r="BN20">
        <f>IF(AND($B20=1,F20&lt;&gt;"",NOT(ISNUMBER(FIND("*",F20)))),4,999999)</f>
        <v/>
      </c>
      <c r="BO20">
        <f>IF(AND($B20=1,G20&lt;&gt;"",NOT(ISNUMBER(FIND("*",G20)))),5,999999)</f>
        <v/>
      </c>
      <c r="BP20">
        <f>IF(AND($B20=1,H20&lt;&gt;"",NOT(ISNUMBER(FIND("*",H20)))),6,999999)</f>
        <v/>
      </c>
      <c r="BQ20">
        <f>IF(AND($B20=1,I20&lt;&gt;"",NOT(ISNUMBER(FIND("*",I20)))),7,999999)</f>
        <v/>
      </c>
      <c r="BR20">
        <f>IF(AND($B20=1,J20&lt;&gt;"",NOT(ISNUMBER(FIND("*",J20)))),8,999999)</f>
        <v/>
      </c>
      <c r="BS20">
        <f>IF(AND($B20=1,K20&lt;&gt;"",NOT(ISNUMBER(FIND("*",K20)))),9,999999)</f>
        <v/>
      </c>
      <c r="BT20">
        <f>IF(AND($B20=1,L20&lt;&gt;"",NOT(ISNUMBER(FIND("*",L20)))),10,999999)</f>
        <v/>
      </c>
      <c r="BU20">
        <f>IF(AND($B20=1,M20&lt;&gt;"",NOT(ISNUMBER(FIND("*",M20)))),11,999999)</f>
        <v/>
      </c>
      <c r="BV20">
        <f>IF(AND($B20=1,N20&lt;&gt;"",NOT(ISNUMBER(FIND("*",N20)))),12,999999)</f>
        <v/>
      </c>
      <c r="BW20">
        <f>IF(AND($B20=1,O20&lt;&gt;"",NOT(ISNUMBER(FIND("*",O20)))),13,999999)</f>
        <v/>
      </c>
      <c r="BX20">
        <f>IF(AND($B20=1,P20&lt;&gt;"",NOT(ISNUMBER(FIND("*",P20)))),14,999999)</f>
        <v/>
      </c>
      <c r="BY20">
        <f>IF(AND($B20=1,Q20&lt;&gt;"",NOT(ISNUMBER(FIND("*",Q20)))),15,999999)</f>
        <v/>
      </c>
      <c r="BZ20">
        <f>IF(AND($B20=1,R20&lt;&gt;"",NOT(ISNUMBER(FIND("*",R20)))),16,999999)</f>
        <v/>
      </c>
      <c r="CA20">
        <f>IF(AND($B20=1,S20&lt;&gt;"",NOT(ISNUMBER(FIND("*",S20)))),17,999999)</f>
        <v/>
      </c>
      <c r="CB20">
        <f>IF(AND($B20=1,T20&lt;&gt;"",NOT(ISNUMBER(FIND("*",T20)))),18,999999)</f>
        <v/>
      </c>
      <c r="CC20">
        <f>IF(AND($B20=1,U20&lt;&gt;"",NOT(ISNUMBER(FIND("*",U20)))),19,999999)</f>
        <v/>
      </c>
      <c r="CD20">
        <f>IF(AND($B20=1,V20&lt;&gt;"",NOT(ISNUMBER(FIND("*",V20)))),20,999999)</f>
        <v/>
      </c>
      <c r="CE20">
        <f>IF(MIN(AQ20:BJ20)&gt;=999999999,0,MATCH(MIN(AQ20:BJ20),AQ20:BJ20,0))</f>
        <v/>
      </c>
      <c r="CF20">
        <f>IF($CE20=1,999999999,W20)</f>
        <v/>
      </c>
      <c r="CG20">
        <f>IF($CE20=2,999999999,X20)</f>
        <v/>
      </c>
      <c r="CH20">
        <f>IF($CE20=3,999999999,Y20)</f>
        <v/>
      </c>
      <c r="CI20">
        <f>IF($CE20=4,999999999,Z20)</f>
        <v/>
      </c>
      <c r="CJ20">
        <f>IF($CE20=5,999999999,AA20)</f>
        <v/>
      </c>
      <c r="CK20">
        <f>IF($CE20=6,999999999,AB20)</f>
        <v/>
      </c>
      <c r="CL20">
        <f>IF($CE20=7,999999999,AC20)</f>
        <v/>
      </c>
      <c r="CM20">
        <f>IF($CE20=8,999999999,AD20)</f>
        <v/>
      </c>
      <c r="CN20">
        <f>IF($CE20=9,999999999,AE20)</f>
        <v/>
      </c>
      <c r="CO20">
        <f>IF($CE20=10,999999999,AF20)</f>
        <v/>
      </c>
      <c r="CP20">
        <f>IF($CE20=11,999999999,AG20)</f>
        <v/>
      </c>
      <c r="CQ20">
        <f>IF($CE20=12,999999999,AH20)</f>
        <v/>
      </c>
      <c r="CR20">
        <f>IF($CE20=13,999999999,AI20)</f>
        <v/>
      </c>
      <c r="CS20">
        <f>IF($CE20=14,999999999,AJ20)</f>
        <v/>
      </c>
      <c r="CT20">
        <f>IF($CE20=15,999999999,AK20)</f>
        <v/>
      </c>
      <c r="CU20">
        <f>IF($CE20=16,999999999,AL20)</f>
        <v/>
      </c>
      <c r="CV20">
        <f>IF($CE20=17,999999999,AM20)</f>
        <v/>
      </c>
      <c r="CW20">
        <f>IF($CE20=18,999999999,AN20)</f>
        <v/>
      </c>
      <c r="CX20">
        <f>IF($CE20=19,999999999,AO20)</f>
        <v/>
      </c>
      <c r="CY20">
        <f>IF($CE20=20,999999999,AP20)</f>
        <v/>
      </c>
      <c r="CZ20">
        <f>COUNTIF(W20:AP20,"&lt;999999999")</f>
        <v/>
      </c>
      <c r="DA20">
        <f>COUNTIF(BK20:CD20,"&lt;999999")</f>
        <v/>
      </c>
      <c r="DB20">
        <f>$CZ20-IF($CE20&gt;0,1,0)</f>
        <v/>
      </c>
      <c r="DC20">
        <f>IF(OR($B20=0,C20=""),0,DC19+1)</f>
        <v/>
      </c>
      <c r="DD20">
        <f>IF(OR($B20=0,D20=""),0,DD19+1)</f>
        <v/>
      </c>
      <c r="DE20">
        <f>IF(OR($B20=0,E20=""),0,DE19+1)</f>
        <v/>
      </c>
      <c r="DF20">
        <f>IF(OR($B20=0,F20=""),0,DF19+1)</f>
        <v/>
      </c>
      <c r="DG20">
        <f>IF(OR($B20=0,G20=""),0,DG19+1)</f>
        <v/>
      </c>
      <c r="DH20">
        <f>IF(OR($B20=0,H20=""),0,DH19+1)</f>
        <v/>
      </c>
      <c r="DI20">
        <f>IF(OR($B20=0,I20=""),0,DI19+1)</f>
        <v/>
      </c>
      <c r="DJ20">
        <f>IF(OR($B20=0,J20=""),0,DJ19+1)</f>
        <v/>
      </c>
      <c r="DK20">
        <f>IF(OR($B20=0,K20=""),0,DK19+1)</f>
        <v/>
      </c>
      <c r="DL20">
        <f>IF(OR($B20=0,L20=""),0,DL19+1)</f>
        <v/>
      </c>
      <c r="DM20">
        <f>IF(OR($B20=0,M20=""),0,DM19+1)</f>
        <v/>
      </c>
      <c r="DN20">
        <f>IF(OR($B20=0,N20=""),0,DN19+1)</f>
        <v/>
      </c>
      <c r="DO20">
        <f>IF(OR($B20=0,O20=""),0,DO19+1)</f>
        <v/>
      </c>
      <c r="DP20">
        <f>IF(OR($B20=0,P20=""),0,DP19+1)</f>
        <v/>
      </c>
      <c r="DQ20">
        <f>IF(OR($B20=0,Q20=""),0,DQ19+1)</f>
        <v/>
      </c>
      <c r="DR20">
        <f>IF(OR($B20=0,R20=""),0,DR19+1)</f>
        <v/>
      </c>
      <c r="DS20">
        <f>IF(OR($B20=0,S20=""),0,DS19+1)</f>
        <v/>
      </c>
      <c r="DT20">
        <f>IF(OR($B20=0,T20=""),0,DT19+1)</f>
        <v/>
      </c>
      <c r="DU20">
        <f>IF(OR($B20=0,U20=""),0,DU19+1)</f>
        <v/>
      </c>
      <c r="DV20">
        <f>IF(OR($B20=0,V20=""),0,DV19+1)</f>
        <v/>
      </c>
      <c r="DW20">
        <f>'ตารางเวร'!T$7</f>
        <v/>
      </c>
      <c r="DX20">
        <f>IF($B20=0,0,IF(WEEKDAY('ตารางเวร'!T$6,2)=IFERROR(MATCH('ตารางเวร'!$AM$11,'ตารางเวร'!$AO$10:$AO$17,0),0),1,0))</f>
        <v/>
      </c>
    </row>
    <row r="21">
      <c r="A21" t="n">
        <v>19</v>
      </c>
      <c r="B21">
        <f>IF(19&gt;DAY(EOMONTH(DATE('ตารางเวร'!$B$3-543,'ตารางเวร'!$B$2,1),0)),0,1)</f>
        <v/>
      </c>
      <c r="C21">
        <f>IF($B21=0,"",IFERROR(TRIM(INDEX('ตารางเวร'!$C$10:$AG$29,1,$A21)),""))</f>
        <v/>
      </c>
      <c r="D21">
        <f>IF($B21=0,"",IFERROR(TRIM(INDEX('ตารางเวร'!$C$10:$AG$29,2,$A21)),""))</f>
        <v/>
      </c>
      <c r="E21">
        <f>IF($B21=0,"",IFERROR(TRIM(INDEX('ตารางเวร'!$C$10:$AG$29,3,$A21)),""))</f>
        <v/>
      </c>
      <c r="F21">
        <f>IF($B21=0,"",IFERROR(TRIM(INDEX('ตารางเวร'!$C$10:$AG$29,4,$A21)),""))</f>
        <v/>
      </c>
      <c r="G21">
        <f>IF($B21=0,"",IFERROR(TRIM(INDEX('ตารางเวร'!$C$10:$AG$29,5,$A21)),""))</f>
        <v/>
      </c>
      <c r="H21">
        <f>IF($B21=0,"",IFERROR(TRIM(INDEX('ตารางเวร'!$C$10:$AG$29,6,$A21)),""))</f>
        <v/>
      </c>
      <c r="I21">
        <f>IF($B21=0,"",IFERROR(TRIM(INDEX('ตารางเวร'!$C$10:$AG$29,7,$A21)),""))</f>
        <v/>
      </c>
      <c r="J21">
        <f>IF($B21=0,"",IFERROR(TRIM(INDEX('ตารางเวร'!$C$10:$AG$29,8,$A21)),""))</f>
        <v/>
      </c>
      <c r="K21">
        <f>IF($B21=0,"",IFERROR(TRIM(INDEX('ตารางเวร'!$C$10:$AG$29,9,$A21)),""))</f>
        <v/>
      </c>
      <c r="L21">
        <f>IF($B21=0,"",IFERROR(TRIM(INDEX('ตารางเวร'!$C$10:$AG$29,10,$A21)),""))</f>
        <v/>
      </c>
      <c r="M21">
        <f>IF($B21=0,"",IFERROR(TRIM(INDEX('ตารางเวร'!$C$10:$AG$29,11,$A21)),""))</f>
        <v/>
      </c>
      <c r="N21">
        <f>IF($B21=0,"",IFERROR(TRIM(INDEX('ตารางเวร'!$C$10:$AG$29,12,$A21)),""))</f>
        <v/>
      </c>
      <c r="O21">
        <f>IF($B21=0,"",IFERROR(TRIM(INDEX('ตารางเวร'!$C$10:$AG$29,13,$A21)),""))</f>
        <v/>
      </c>
      <c r="P21">
        <f>IF($B21=0,"",IFERROR(TRIM(INDEX('ตารางเวร'!$C$10:$AG$29,14,$A21)),""))</f>
        <v/>
      </c>
      <c r="Q21">
        <f>IF($B21=0,"",IFERROR(TRIM(INDEX('ตารางเวร'!$C$10:$AG$29,15,$A21)),""))</f>
        <v/>
      </c>
      <c r="R21">
        <f>IF($B21=0,"",IFERROR(TRIM(INDEX('ตารางเวร'!$C$10:$AG$29,16,$A21)),""))</f>
        <v/>
      </c>
      <c r="S21">
        <f>IF($B21=0,"",IFERROR(TRIM(INDEX('ตารางเวร'!$C$10:$AG$29,17,$A21)),""))</f>
        <v/>
      </c>
      <c r="T21">
        <f>IF($B21=0,"",IFERROR(TRIM(INDEX('ตารางเวร'!$C$10:$AG$29,18,$A21)),""))</f>
        <v/>
      </c>
      <c r="U21">
        <f>IF($B21=0,"",IFERROR(TRIM(INDEX('ตารางเวร'!$C$10:$AG$29,19,$A21)),""))</f>
        <v/>
      </c>
      <c r="V21">
        <f>IF($B21=0,"",IFERROR(TRIM(INDEX('ตารางเวร'!$C$10:$AG$29,20,$A21)),""))</f>
        <v/>
      </c>
      <c r="W21">
        <f>IF(AND($B21=1,C21&lt;&gt;"",ISNUMBER(FIND("*",C21))),MOD((MOD('ตารางเวร'!$B$4,9973)*7919+$A21*40289)*(1*104729+7919),99991)*100+1,999999999)</f>
        <v/>
      </c>
      <c r="X21">
        <f>IF(AND($B21=1,D21&lt;&gt;"",ISNUMBER(FIND("*",D21))),MOD((MOD('ตารางเวร'!$B$4,9973)*7919+$A21*40289)*(2*104729+7919),99991)*100+2,999999999)</f>
        <v/>
      </c>
      <c r="Y21">
        <f>IF(AND($B21=1,E21&lt;&gt;"",ISNUMBER(FIND("*",E21))),MOD((MOD('ตารางเวร'!$B$4,9973)*7919+$A21*40289)*(3*104729+7919),99991)*100+3,999999999)</f>
        <v/>
      </c>
      <c r="Z21">
        <f>IF(AND($B21=1,F21&lt;&gt;"",ISNUMBER(FIND("*",F21))),MOD((MOD('ตารางเวร'!$B$4,9973)*7919+$A21*40289)*(4*104729+7919),99991)*100+4,999999999)</f>
        <v/>
      </c>
      <c r="AA21">
        <f>IF(AND($B21=1,G21&lt;&gt;"",ISNUMBER(FIND("*",G21))),MOD((MOD('ตารางเวร'!$B$4,9973)*7919+$A21*40289)*(5*104729+7919),99991)*100+5,999999999)</f>
        <v/>
      </c>
      <c r="AB21">
        <f>IF(AND($B21=1,H21&lt;&gt;"",ISNUMBER(FIND("*",H21))),MOD((MOD('ตารางเวร'!$B$4,9973)*7919+$A21*40289)*(6*104729+7919),99991)*100+6,999999999)</f>
        <v/>
      </c>
      <c r="AC21">
        <f>IF(AND($B21=1,I21&lt;&gt;"",ISNUMBER(FIND("*",I21))),MOD((MOD('ตารางเวร'!$B$4,9973)*7919+$A21*40289)*(7*104729+7919),99991)*100+7,999999999)</f>
        <v/>
      </c>
      <c r="AD21">
        <f>IF(AND($B21=1,J21&lt;&gt;"",ISNUMBER(FIND("*",J21))),MOD((MOD('ตารางเวร'!$B$4,9973)*7919+$A21*40289)*(8*104729+7919),99991)*100+8,999999999)</f>
        <v/>
      </c>
      <c r="AE21">
        <f>IF(AND($B21=1,K21&lt;&gt;"",ISNUMBER(FIND("*",K21))),MOD((MOD('ตารางเวร'!$B$4,9973)*7919+$A21*40289)*(9*104729+7919),99991)*100+9,999999999)</f>
        <v/>
      </c>
      <c r="AF21">
        <f>IF(AND($B21=1,L21&lt;&gt;"",ISNUMBER(FIND("*",L21))),MOD((MOD('ตารางเวร'!$B$4,9973)*7919+$A21*40289)*(10*104729+7919),99991)*100+10,999999999)</f>
        <v/>
      </c>
      <c r="AG21">
        <f>IF(AND($B21=1,M21&lt;&gt;"",ISNUMBER(FIND("*",M21))),MOD((MOD('ตารางเวร'!$B$4,9973)*7919+$A21*40289)*(11*104729+7919),99991)*100+11,999999999)</f>
        <v/>
      </c>
      <c r="AH21">
        <f>IF(AND($B21=1,N21&lt;&gt;"",ISNUMBER(FIND("*",N21))),MOD((MOD('ตารางเวร'!$B$4,9973)*7919+$A21*40289)*(12*104729+7919),99991)*100+12,999999999)</f>
        <v/>
      </c>
      <c r="AI21">
        <f>IF(AND($B21=1,O21&lt;&gt;"",ISNUMBER(FIND("*",O21))),MOD((MOD('ตารางเวร'!$B$4,9973)*7919+$A21*40289)*(13*104729+7919),99991)*100+13,999999999)</f>
        <v/>
      </c>
      <c r="AJ21">
        <f>IF(AND($B21=1,P21&lt;&gt;"",ISNUMBER(FIND("*",P21))),MOD((MOD('ตารางเวร'!$B$4,9973)*7919+$A21*40289)*(14*104729+7919),99991)*100+14,999999999)</f>
        <v/>
      </c>
      <c r="AK21">
        <f>IF(AND($B21=1,Q21&lt;&gt;"",ISNUMBER(FIND("*",Q21))),MOD((MOD('ตารางเวร'!$B$4,9973)*7919+$A21*40289)*(15*104729+7919),99991)*100+15,999999999)</f>
        <v/>
      </c>
      <c r="AL21">
        <f>IF(AND($B21=1,R21&lt;&gt;"",ISNUMBER(FIND("*",R21))),MOD((MOD('ตารางเวร'!$B$4,9973)*7919+$A21*40289)*(16*104729+7919),99991)*100+16,999999999)</f>
        <v/>
      </c>
      <c r="AM21">
        <f>IF(AND($B21=1,S21&lt;&gt;"",ISNUMBER(FIND("*",S21))),MOD((MOD('ตารางเวร'!$B$4,9973)*7919+$A21*40289)*(17*104729+7919),99991)*100+17,999999999)</f>
        <v/>
      </c>
      <c r="AN21">
        <f>IF(AND($B21=1,T21&lt;&gt;"",ISNUMBER(FIND("*",T21))),MOD((MOD('ตารางเวร'!$B$4,9973)*7919+$A21*40289)*(18*104729+7919),99991)*100+18,999999999)</f>
        <v/>
      </c>
      <c r="AO21">
        <f>IF(AND($B21=1,U21&lt;&gt;"",ISNUMBER(FIND("*",U21))),MOD((MOD('ตารางเวร'!$B$4,9973)*7919+$A21*40289)*(19*104729+7919),99991)*100+19,999999999)</f>
        <v/>
      </c>
      <c r="AP21">
        <f>IF(AND($B21=1,V21&lt;&gt;"",ISNUMBER(FIND("*",V21))),MOD((MOD('ตารางเวร'!$B$4,9973)*7919+$A21*40289)*(20*104729+7919),99991)*100+20,999999999)</f>
        <v/>
      </c>
      <c r="AQ21">
        <f>IF(TRIM('ตารางเวร'!$B$10)&lt;&gt;"",999999999,W21)</f>
        <v/>
      </c>
      <c r="AR21">
        <f>IF(TRIM('ตารางเวร'!$B$11)&lt;&gt;"",999999999,X21)</f>
        <v/>
      </c>
      <c r="AS21">
        <f>IF(TRIM('ตารางเวร'!$B$12)&lt;&gt;"",999999999,Y21)</f>
        <v/>
      </c>
      <c r="AT21">
        <f>IF(TRIM('ตารางเวร'!$B$13)&lt;&gt;"",999999999,Z21)</f>
        <v/>
      </c>
      <c r="AU21">
        <f>IF(TRIM('ตารางเวร'!$B$14)&lt;&gt;"",999999999,AA21)</f>
        <v/>
      </c>
      <c r="AV21">
        <f>IF(TRIM('ตารางเวร'!$B$15)&lt;&gt;"",999999999,AB21)</f>
        <v/>
      </c>
      <c r="AW21">
        <f>IF(TRIM('ตารางเวร'!$B$16)&lt;&gt;"",999999999,AC21)</f>
        <v/>
      </c>
      <c r="AX21">
        <f>IF(TRIM('ตารางเวร'!$B$17)&lt;&gt;"",999999999,AD21)</f>
        <v/>
      </c>
      <c r="AY21">
        <f>IF(TRIM('ตารางเวร'!$B$18)&lt;&gt;"",999999999,AE21)</f>
        <v/>
      </c>
      <c r="AZ21">
        <f>IF(TRIM('ตารางเวร'!$B$19)&lt;&gt;"",999999999,AF21)</f>
        <v/>
      </c>
      <c r="BA21">
        <f>IF(TRIM('ตารางเวร'!$B$20)&lt;&gt;"",999999999,AG21)</f>
        <v/>
      </c>
      <c r="BB21">
        <f>IF(TRIM('ตารางเวร'!$B$21)&lt;&gt;"",999999999,AH21)</f>
        <v/>
      </c>
      <c r="BC21">
        <f>IF(TRIM('ตารางเวร'!$B$22)&lt;&gt;"",999999999,AI21)</f>
        <v/>
      </c>
      <c r="BD21">
        <f>IF(TRIM('ตารางเวร'!$B$23)&lt;&gt;"",999999999,AJ21)</f>
        <v/>
      </c>
      <c r="BE21">
        <f>IF(TRIM('ตารางเวร'!$B$24)&lt;&gt;"",999999999,AK21)</f>
        <v/>
      </c>
      <c r="BF21">
        <f>IF(TRIM('ตารางเวร'!$B$25)&lt;&gt;"",999999999,AL21)</f>
        <v/>
      </c>
      <c r="BG21">
        <f>IF(TRIM('ตารางเวร'!$B$26)&lt;&gt;"",999999999,AM21)</f>
        <v/>
      </c>
      <c r="BH21">
        <f>IF(TRIM('ตารางเวร'!$B$27)&lt;&gt;"",999999999,AN21)</f>
        <v/>
      </c>
      <c r="BI21">
        <f>IF(TRIM('ตารางเวร'!$B$28)&lt;&gt;"",999999999,AO21)</f>
        <v/>
      </c>
      <c r="BJ21">
        <f>IF(TRIM('ตารางเวร'!$B$29)&lt;&gt;"",999999999,AP21)</f>
        <v/>
      </c>
      <c r="BK21">
        <f>IF(AND($B21=1,C21&lt;&gt;"",NOT(ISNUMBER(FIND("*",C21)))),1,999999)</f>
        <v/>
      </c>
      <c r="BL21">
        <f>IF(AND($B21=1,D21&lt;&gt;"",NOT(ISNUMBER(FIND("*",D21)))),2,999999)</f>
        <v/>
      </c>
      <c r="BM21">
        <f>IF(AND($B21=1,E21&lt;&gt;"",NOT(ISNUMBER(FIND("*",E21)))),3,999999)</f>
        <v/>
      </c>
      <c r="BN21">
        <f>IF(AND($B21=1,F21&lt;&gt;"",NOT(ISNUMBER(FIND("*",F21)))),4,999999)</f>
        <v/>
      </c>
      <c r="BO21">
        <f>IF(AND($B21=1,G21&lt;&gt;"",NOT(ISNUMBER(FIND("*",G21)))),5,999999)</f>
        <v/>
      </c>
      <c r="BP21">
        <f>IF(AND($B21=1,H21&lt;&gt;"",NOT(ISNUMBER(FIND("*",H21)))),6,999999)</f>
        <v/>
      </c>
      <c r="BQ21">
        <f>IF(AND($B21=1,I21&lt;&gt;"",NOT(ISNUMBER(FIND("*",I21)))),7,999999)</f>
        <v/>
      </c>
      <c r="BR21">
        <f>IF(AND($B21=1,J21&lt;&gt;"",NOT(ISNUMBER(FIND("*",J21)))),8,999999)</f>
        <v/>
      </c>
      <c r="BS21">
        <f>IF(AND($B21=1,K21&lt;&gt;"",NOT(ISNUMBER(FIND("*",K21)))),9,999999)</f>
        <v/>
      </c>
      <c r="BT21">
        <f>IF(AND($B21=1,L21&lt;&gt;"",NOT(ISNUMBER(FIND("*",L21)))),10,999999)</f>
        <v/>
      </c>
      <c r="BU21">
        <f>IF(AND($B21=1,M21&lt;&gt;"",NOT(ISNUMBER(FIND("*",M21)))),11,999999)</f>
        <v/>
      </c>
      <c r="BV21">
        <f>IF(AND($B21=1,N21&lt;&gt;"",NOT(ISNUMBER(FIND("*",N21)))),12,999999)</f>
        <v/>
      </c>
      <c r="BW21">
        <f>IF(AND($B21=1,O21&lt;&gt;"",NOT(ISNUMBER(FIND("*",O21)))),13,999999)</f>
        <v/>
      </c>
      <c r="BX21">
        <f>IF(AND($B21=1,P21&lt;&gt;"",NOT(ISNUMBER(FIND("*",P21)))),14,999999)</f>
        <v/>
      </c>
      <c r="BY21">
        <f>IF(AND($B21=1,Q21&lt;&gt;"",NOT(ISNUMBER(FIND("*",Q21)))),15,999999)</f>
        <v/>
      </c>
      <c r="BZ21">
        <f>IF(AND($B21=1,R21&lt;&gt;"",NOT(ISNUMBER(FIND("*",R21)))),16,999999)</f>
        <v/>
      </c>
      <c r="CA21">
        <f>IF(AND($B21=1,S21&lt;&gt;"",NOT(ISNUMBER(FIND("*",S21)))),17,999999)</f>
        <v/>
      </c>
      <c r="CB21">
        <f>IF(AND($B21=1,T21&lt;&gt;"",NOT(ISNUMBER(FIND("*",T21)))),18,999999)</f>
        <v/>
      </c>
      <c r="CC21">
        <f>IF(AND($B21=1,U21&lt;&gt;"",NOT(ISNUMBER(FIND("*",U21)))),19,999999)</f>
        <v/>
      </c>
      <c r="CD21">
        <f>IF(AND($B21=1,V21&lt;&gt;"",NOT(ISNUMBER(FIND("*",V21)))),20,999999)</f>
        <v/>
      </c>
      <c r="CE21">
        <f>IF(MIN(AQ21:BJ21)&gt;=999999999,0,MATCH(MIN(AQ21:BJ21),AQ21:BJ21,0))</f>
        <v/>
      </c>
      <c r="CF21">
        <f>IF($CE21=1,999999999,W21)</f>
        <v/>
      </c>
      <c r="CG21">
        <f>IF($CE21=2,999999999,X21)</f>
        <v/>
      </c>
      <c r="CH21">
        <f>IF($CE21=3,999999999,Y21)</f>
        <v/>
      </c>
      <c r="CI21">
        <f>IF($CE21=4,999999999,Z21)</f>
        <v/>
      </c>
      <c r="CJ21">
        <f>IF($CE21=5,999999999,AA21)</f>
        <v/>
      </c>
      <c r="CK21">
        <f>IF($CE21=6,999999999,AB21)</f>
        <v/>
      </c>
      <c r="CL21">
        <f>IF($CE21=7,999999999,AC21)</f>
        <v/>
      </c>
      <c r="CM21">
        <f>IF($CE21=8,999999999,AD21)</f>
        <v/>
      </c>
      <c r="CN21">
        <f>IF($CE21=9,999999999,AE21)</f>
        <v/>
      </c>
      <c r="CO21">
        <f>IF($CE21=10,999999999,AF21)</f>
        <v/>
      </c>
      <c r="CP21">
        <f>IF($CE21=11,999999999,AG21)</f>
        <v/>
      </c>
      <c r="CQ21">
        <f>IF($CE21=12,999999999,AH21)</f>
        <v/>
      </c>
      <c r="CR21">
        <f>IF($CE21=13,999999999,AI21)</f>
        <v/>
      </c>
      <c r="CS21">
        <f>IF($CE21=14,999999999,AJ21)</f>
        <v/>
      </c>
      <c r="CT21">
        <f>IF($CE21=15,999999999,AK21)</f>
        <v/>
      </c>
      <c r="CU21">
        <f>IF($CE21=16,999999999,AL21)</f>
        <v/>
      </c>
      <c r="CV21">
        <f>IF($CE21=17,999999999,AM21)</f>
        <v/>
      </c>
      <c r="CW21">
        <f>IF($CE21=18,999999999,AN21)</f>
        <v/>
      </c>
      <c r="CX21">
        <f>IF($CE21=19,999999999,AO21)</f>
        <v/>
      </c>
      <c r="CY21">
        <f>IF($CE21=20,999999999,AP21)</f>
        <v/>
      </c>
      <c r="CZ21">
        <f>COUNTIF(W21:AP21,"&lt;999999999")</f>
        <v/>
      </c>
      <c r="DA21">
        <f>COUNTIF(BK21:CD21,"&lt;999999")</f>
        <v/>
      </c>
      <c r="DB21">
        <f>$CZ21-IF($CE21&gt;0,1,0)</f>
        <v/>
      </c>
      <c r="DC21">
        <f>IF(OR($B21=0,C21=""),0,DC20+1)</f>
        <v/>
      </c>
      <c r="DD21">
        <f>IF(OR($B21=0,D21=""),0,DD20+1)</f>
        <v/>
      </c>
      <c r="DE21">
        <f>IF(OR($B21=0,E21=""),0,DE20+1)</f>
        <v/>
      </c>
      <c r="DF21">
        <f>IF(OR($B21=0,F21=""),0,DF20+1)</f>
        <v/>
      </c>
      <c r="DG21">
        <f>IF(OR($B21=0,G21=""),0,DG20+1)</f>
        <v/>
      </c>
      <c r="DH21">
        <f>IF(OR($B21=0,H21=""),0,DH20+1)</f>
        <v/>
      </c>
      <c r="DI21">
        <f>IF(OR($B21=0,I21=""),0,DI20+1)</f>
        <v/>
      </c>
      <c r="DJ21">
        <f>IF(OR($B21=0,J21=""),0,DJ20+1)</f>
        <v/>
      </c>
      <c r="DK21">
        <f>IF(OR($B21=0,K21=""),0,DK20+1)</f>
        <v/>
      </c>
      <c r="DL21">
        <f>IF(OR($B21=0,L21=""),0,DL20+1)</f>
        <v/>
      </c>
      <c r="DM21">
        <f>IF(OR($B21=0,M21=""),0,DM20+1)</f>
        <v/>
      </c>
      <c r="DN21">
        <f>IF(OR($B21=0,N21=""),0,DN20+1)</f>
        <v/>
      </c>
      <c r="DO21">
        <f>IF(OR($B21=0,O21=""),0,DO20+1)</f>
        <v/>
      </c>
      <c r="DP21">
        <f>IF(OR($B21=0,P21=""),0,DP20+1)</f>
        <v/>
      </c>
      <c r="DQ21">
        <f>IF(OR($B21=0,Q21=""),0,DQ20+1)</f>
        <v/>
      </c>
      <c r="DR21">
        <f>IF(OR($B21=0,R21=""),0,DR20+1)</f>
        <v/>
      </c>
      <c r="DS21">
        <f>IF(OR($B21=0,S21=""),0,DS20+1)</f>
        <v/>
      </c>
      <c r="DT21">
        <f>IF(OR($B21=0,T21=""),0,DT20+1)</f>
        <v/>
      </c>
      <c r="DU21">
        <f>IF(OR($B21=0,U21=""),0,DU20+1)</f>
        <v/>
      </c>
      <c r="DV21">
        <f>IF(OR($B21=0,V21=""),0,DV20+1)</f>
        <v/>
      </c>
      <c r="DW21">
        <f>'ตารางเวร'!U$7</f>
        <v/>
      </c>
      <c r="DX21">
        <f>IF($B21=0,0,IF(WEEKDAY('ตารางเวร'!U$6,2)=IFERROR(MATCH('ตารางเวร'!$AM$11,'ตารางเวร'!$AO$10:$AO$17,0),0),1,0))</f>
        <v/>
      </c>
    </row>
    <row r="22">
      <c r="A22" t="n">
        <v>20</v>
      </c>
      <c r="B22">
        <f>IF(20&gt;DAY(EOMONTH(DATE('ตารางเวร'!$B$3-543,'ตารางเวร'!$B$2,1),0)),0,1)</f>
        <v/>
      </c>
      <c r="C22">
        <f>IF($B22=0,"",IFERROR(TRIM(INDEX('ตารางเวร'!$C$10:$AG$29,1,$A22)),""))</f>
        <v/>
      </c>
      <c r="D22">
        <f>IF($B22=0,"",IFERROR(TRIM(INDEX('ตารางเวร'!$C$10:$AG$29,2,$A22)),""))</f>
        <v/>
      </c>
      <c r="E22">
        <f>IF($B22=0,"",IFERROR(TRIM(INDEX('ตารางเวร'!$C$10:$AG$29,3,$A22)),""))</f>
        <v/>
      </c>
      <c r="F22">
        <f>IF($B22=0,"",IFERROR(TRIM(INDEX('ตารางเวร'!$C$10:$AG$29,4,$A22)),""))</f>
        <v/>
      </c>
      <c r="G22">
        <f>IF($B22=0,"",IFERROR(TRIM(INDEX('ตารางเวร'!$C$10:$AG$29,5,$A22)),""))</f>
        <v/>
      </c>
      <c r="H22">
        <f>IF($B22=0,"",IFERROR(TRIM(INDEX('ตารางเวร'!$C$10:$AG$29,6,$A22)),""))</f>
        <v/>
      </c>
      <c r="I22">
        <f>IF($B22=0,"",IFERROR(TRIM(INDEX('ตารางเวร'!$C$10:$AG$29,7,$A22)),""))</f>
        <v/>
      </c>
      <c r="J22">
        <f>IF($B22=0,"",IFERROR(TRIM(INDEX('ตารางเวร'!$C$10:$AG$29,8,$A22)),""))</f>
        <v/>
      </c>
      <c r="K22">
        <f>IF($B22=0,"",IFERROR(TRIM(INDEX('ตารางเวร'!$C$10:$AG$29,9,$A22)),""))</f>
        <v/>
      </c>
      <c r="L22">
        <f>IF($B22=0,"",IFERROR(TRIM(INDEX('ตารางเวร'!$C$10:$AG$29,10,$A22)),""))</f>
        <v/>
      </c>
      <c r="M22">
        <f>IF($B22=0,"",IFERROR(TRIM(INDEX('ตารางเวร'!$C$10:$AG$29,11,$A22)),""))</f>
        <v/>
      </c>
      <c r="N22">
        <f>IF($B22=0,"",IFERROR(TRIM(INDEX('ตารางเวร'!$C$10:$AG$29,12,$A22)),""))</f>
        <v/>
      </c>
      <c r="O22">
        <f>IF($B22=0,"",IFERROR(TRIM(INDEX('ตารางเวร'!$C$10:$AG$29,13,$A22)),""))</f>
        <v/>
      </c>
      <c r="P22">
        <f>IF($B22=0,"",IFERROR(TRIM(INDEX('ตารางเวร'!$C$10:$AG$29,14,$A22)),""))</f>
        <v/>
      </c>
      <c r="Q22">
        <f>IF($B22=0,"",IFERROR(TRIM(INDEX('ตารางเวร'!$C$10:$AG$29,15,$A22)),""))</f>
        <v/>
      </c>
      <c r="R22">
        <f>IF($B22=0,"",IFERROR(TRIM(INDEX('ตารางเวร'!$C$10:$AG$29,16,$A22)),""))</f>
        <v/>
      </c>
      <c r="S22">
        <f>IF($B22=0,"",IFERROR(TRIM(INDEX('ตารางเวร'!$C$10:$AG$29,17,$A22)),""))</f>
        <v/>
      </c>
      <c r="T22">
        <f>IF($B22=0,"",IFERROR(TRIM(INDEX('ตารางเวร'!$C$10:$AG$29,18,$A22)),""))</f>
        <v/>
      </c>
      <c r="U22">
        <f>IF($B22=0,"",IFERROR(TRIM(INDEX('ตารางเวร'!$C$10:$AG$29,19,$A22)),""))</f>
        <v/>
      </c>
      <c r="V22">
        <f>IF($B22=0,"",IFERROR(TRIM(INDEX('ตารางเวร'!$C$10:$AG$29,20,$A22)),""))</f>
        <v/>
      </c>
      <c r="W22">
        <f>IF(AND($B22=1,C22&lt;&gt;"",ISNUMBER(FIND("*",C22))),MOD((MOD('ตารางเวร'!$B$4,9973)*7919+$A22*40289)*(1*104729+7919),99991)*100+1,999999999)</f>
        <v/>
      </c>
      <c r="X22">
        <f>IF(AND($B22=1,D22&lt;&gt;"",ISNUMBER(FIND("*",D22))),MOD((MOD('ตารางเวร'!$B$4,9973)*7919+$A22*40289)*(2*104729+7919),99991)*100+2,999999999)</f>
        <v/>
      </c>
      <c r="Y22">
        <f>IF(AND($B22=1,E22&lt;&gt;"",ISNUMBER(FIND("*",E22))),MOD((MOD('ตารางเวร'!$B$4,9973)*7919+$A22*40289)*(3*104729+7919),99991)*100+3,999999999)</f>
        <v/>
      </c>
      <c r="Z22">
        <f>IF(AND($B22=1,F22&lt;&gt;"",ISNUMBER(FIND("*",F22))),MOD((MOD('ตารางเวร'!$B$4,9973)*7919+$A22*40289)*(4*104729+7919),99991)*100+4,999999999)</f>
        <v/>
      </c>
      <c r="AA22">
        <f>IF(AND($B22=1,G22&lt;&gt;"",ISNUMBER(FIND("*",G22))),MOD((MOD('ตารางเวร'!$B$4,9973)*7919+$A22*40289)*(5*104729+7919),99991)*100+5,999999999)</f>
        <v/>
      </c>
      <c r="AB22">
        <f>IF(AND($B22=1,H22&lt;&gt;"",ISNUMBER(FIND("*",H22))),MOD((MOD('ตารางเวร'!$B$4,9973)*7919+$A22*40289)*(6*104729+7919),99991)*100+6,999999999)</f>
        <v/>
      </c>
      <c r="AC22">
        <f>IF(AND($B22=1,I22&lt;&gt;"",ISNUMBER(FIND("*",I22))),MOD((MOD('ตารางเวร'!$B$4,9973)*7919+$A22*40289)*(7*104729+7919),99991)*100+7,999999999)</f>
        <v/>
      </c>
      <c r="AD22">
        <f>IF(AND($B22=1,J22&lt;&gt;"",ISNUMBER(FIND("*",J22))),MOD((MOD('ตารางเวร'!$B$4,9973)*7919+$A22*40289)*(8*104729+7919),99991)*100+8,999999999)</f>
        <v/>
      </c>
      <c r="AE22">
        <f>IF(AND($B22=1,K22&lt;&gt;"",ISNUMBER(FIND("*",K22))),MOD((MOD('ตารางเวร'!$B$4,9973)*7919+$A22*40289)*(9*104729+7919),99991)*100+9,999999999)</f>
        <v/>
      </c>
      <c r="AF22">
        <f>IF(AND($B22=1,L22&lt;&gt;"",ISNUMBER(FIND("*",L22))),MOD((MOD('ตารางเวร'!$B$4,9973)*7919+$A22*40289)*(10*104729+7919),99991)*100+10,999999999)</f>
        <v/>
      </c>
      <c r="AG22">
        <f>IF(AND($B22=1,M22&lt;&gt;"",ISNUMBER(FIND("*",M22))),MOD((MOD('ตารางเวร'!$B$4,9973)*7919+$A22*40289)*(11*104729+7919),99991)*100+11,999999999)</f>
        <v/>
      </c>
      <c r="AH22">
        <f>IF(AND($B22=1,N22&lt;&gt;"",ISNUMBER(FIND("*",N22))),MOD((MOD('ตารางเวร'!$B$4,9973)*7919+$A22*40289)*(12*104729+7919),99991)*100+12,999999999)</f>
        <v/>
      </c>
      <c r="AI22">
        <f>IF(AND($B22=1,O22&lt;&gt;"",ISNUMBER(FIND("*",O22))),MOD((MOD('ตารางเวร'!$B$4,9973)*7919+$A22*40289)*(13*104729+7919),99991)*100+13,999999999)</f>
        <v/>
      </c>
      <c r="AJ22">
        <f>IF(AND($B22=1,P22&lt;&gt;"",ISNUMBER(FIND("*",P22))),MOD((MOD('ตารางเวร'!$B$4,9973)*7919+$A22*40289)*(14*104729+7919),99991)*100+14,999999999)</f>
        <v/>
      </c>
      <c r="AK22">
        <f>IF(AND($B22=1,Q22&lt;&gt;"",ISNUMBER(FIND("*",Q22))),MOD((MOD('ตารางเวร'!$B$4,9973)*7919+$A22*40289)*(15*104729+7919),99991)*100+15,999999999)</f>
        <v/>
      </c>
      <c r="AL22">
        <f>IF(AND($B22=1,R22&lt;&gt;"",ISNUMBER(FIND("*",R22))),MOD((MOD('ตารางเวร'!$B$4,9973)*7919+$A22*40289)*(16*104729+7919),99991)*100+16,999999999)</f>
        <v/>
      </c>
      <c r="AM22">
        <f>IF(AND($B22=1,S22&lt;&gt;"",ISNUMBER(FIND("*",S22))),MOD((MOD('ตารางเวร'!$B$4,9973)*7919+$A22*40289)*(17*104729+7919),99991)*100+17,999999999)</f>
        <v/>
      </c>
      <c r="AN22">
        <f>IF(AND($B22=1,T22&lt;&gt;"",ISNUMBER(FIND("*",T22))),MOD((MOD('ตารางเวร'!$B$4,9973)*7919+$A22*40289)*(18*104729+7919),99991)*100+18,999999999)</f>
        <v/>
      </c>
      <c r="AO22">
        <f>IF(AND($B22=1,U22&lt;&gt;"",ISNUMBER(FIND("*",U22))),MOD((MOD('ตารางเวร'!$B$4,9973)*7919+$A22*40289)*(19*104729+7919),99991)*100+19,999999999)</f>
        <v/>
      </c>
      <c r="AP22">
        <f>IF(AND($B22=1,V22&lt;&gt;"",ISNUMBER(FIND("*",V22))),MOD((MOD('ตารางเวร'!$B$4,9973)*7919+$A22*40289)*(20*104729+7919),99991)*100+20,999999999)</f>
        <v/>
      </c>
      <c r="AQ22">
        <f>IF(TRIM('ตารางเวร'!$B$10)&lt;&gt;"",999999999,W22)</f>
        <v/>
      </c>
      <c r="AR22">
        <f>IF(TRIM('ตารางเวร'!$B$11)&lt;&gt;"",999999999,X22)</f>
        <v/>
      </c>
      <c r="AS22">
        <f>IF(TRIM('ตารางเวร'!$B$12)&lt;&gt;"",999999999,Y22)</f>
        <v/>
      </c>
      <c r="AT22">
        <f>IF(TRIM('ตารางเวร'!$B$13)&lt;&gt;"",999999999,Z22)</f>
        <v/>
      </c>
      <c r="AU22">
        <f>IF(TRIM('ตารางเวร'!$B$14)&lt;&gt;"",999999999,AA22)</f>
        <v/>
      </c>
      <c r="AV22">
        <f>IF(TRIM('ตารางเวร'!$B$15)&lt;&gt;"",999999999,AB22)</f>
        <v/>
      </c>
      <c r="AW22">
        <f>IF(TRIM('ตารางเวร'!$B$16)&lt;&gt;"",999999999,AC22)</f>
        <v/>
      </c>
      <c r="AX22">
        <f>IF(TRIM('ตารางเวร'!$B$17)&lt;&gt;"",999999999,AD22)</f>
        <v/>
      </c>
      <c r="AY22">
        <f>IF(TRIM('ตารางเวร'!$B$18)&lt;&gt;"",999999999,AE22)</f>
        <v/>
      </c>
      <c r="AZ22">
        <f>IF(TRIM('ตารางเวร'!$B$19)&lt;&gt;"",999999999,AF22)</f>
        <v/>
      </c>
      <c r="BA22">
        <f>IF(TRIM('ตารางเวร'!$B$20)&lt;&gt;"",999999999,AG22)</f>
        <v/>
      </c>
      <c r="BB22">
        <f>IF(TRIM('ตารางเวร'!$B$21)&lt;&gt;"",999999999,AH22)</f>
        <v/>
      </c>
      <c r="BC22">
        <f>IF(TRIM('ตารางเวร'!$B$22)&lt;&gt;"",999999999,AI22)</f>
        <v/>
      </c>
      <c r="BD22">
        <f>IF(TRIM('ตารางเวร'!$B$23)&lt;&gt;"",999999999,AJ22)</f>
        <v/>
      </c>
      <c r="BE22">
        <f>IF(TRIM('ตารางเวร'!$B$24)&lt;&gt;"",999999999,AK22)</f>
        <v/>
      </c>
      <c r="BF22">
        <f>IF(TRIM('ตารางเวร'!$B$25)&lt;&gt;"",999999999,AL22)</f>
        <v/>
      </c>
      <c r="BG22">
        <f>IF(TRIM('ตารางเวร'!$B$26)&lt;&gt;"",999999999,AM22)</f>
        <v/>
      </c>
      <c r="BH22">
        <f>IF(TRIM('ตารางเวร'!$B$27)&lt;&gt;"",999999999,AN22)</f>
        <v/>
      </c>
      <c r="BI22">
        <f>IF(TRIM('ตารางเวร'!$B$28)&lt;&gt;"",999999999,AO22)</f>
        <v/>
      </c>
      <c r="BJ22">
        <f>IF(TRIM('ตารางเวร'!$B$29)&lt;&gt;"",999999999,AP22)</f>
        <v/>
      </c>
      <c r="BK22">
        <f>IF(AND($B22=1,C22&lt;&gt;"",NOT(ISNUMBER(FIND("*",C22)))),1,999999)</f>
        <v/>
      </c>
      <c r="BL22">
        <f>IF(AND($B22=1,D22&lt;&gt;"",NOT(ISNUMBER(FIND("*",D22)))),2,999999)</f>
        <v/>
      </c>
      <c r="BM22">
        <f>IF(AND($B22=1,E22&lt;&gt;"",NOT(ISNUMBER(FIND("*",E22)))),3,999999)</f>
        <v/>
      </c>
      <c r="BN22">
        <f>IF(AND($B22=1,F22&lt;&gt;"",NOT(ISNUMBER(FIND("*",F22)))),4,999999)</f>
        <v/>
      </c>
      <c r="BO22">
        <f>IF(AND($B22=1,G22&lt;&gt;"",NOT(ISNUMBER(FIND("*",G22)))),5,999999)</f>
        <v/>
      </c>
      <c r="BP22">
        <f>IF(AND($B22=1,H22&lt;&gt;"",NOT(ISNUMBER(FIND("*",H22)))),6,999999)</f>
        <v/>
      </c>
      <c r="BQ22">
        <f>IF(AND($B22=1,I22&lt;&gt;"",NOT(ISNUMBER(FIND("*",I22)))),7,999999)</f>
        <v/>
      </c>
      <c r="BR22">
        <f>IF(AND($B22=1,J22&lt;&gt;"",NOT(ISNUMBER(FIND("*",J22)))),8,999999)</f>
        <v/>
      </c>
      <c r="BS22">
        <f>IF(AND($B22=1,K22&lt;&gt;"",NOT(ISNUMBER(FIND("*",K22)))),9,999999)</f>
        <v/>
      </c>
      <c r="BT22">
        <f>IF(AND($B22=1,L22&lt;&gt;"",NOT(ISNUMBER(FIND("*",L22)))),10,999999)</f>
        <v/>
      </c>
      <c r="BU22">
        <f>IF(AND($B22=1,M22&lt;&gt;"",NOT(ISNUMBER(FIND("*",M22)))),11,999999)</f>
        <v/>
      </c>
      <c r="BV22">
        <f>IF(AND($B22=1,N22&lt;&gt;"",NOT(ISNUMBER(FIND("*",N22)))),12,999999)</f>
        <v/>
      </c>
      <c r="BW22">
        <f>IF(AND($B22=1,O22&lt;&gt;"",NOT(ISNUMBER(FIND("*",O22)))),13,999999)</f>
        <v/>
      </c>
      <c r="BX22">
        <f>IF(AND($B22=1,P22&lt;&gt;"",NOT(ISNUMBER(FIND("*",P22)))),14,999999)</f>
        <v/>
      </c>
      <c r="BY22">
        <f>IF(AND($B22=1,Q22&lt;&gt;"",NOT(ISNUMBER(FIND("*",Q22)))),15,999999)</f>
        <v/>
      </c>
      <c r="BZ22">
        <f>IF(AND($B22=1,R22&lt;&gt;"",NOT(ISNUMBER(FIND("*",R22)))),16,999999)</f>
        <v/>
      </c>
      <c r="CA22">
        <f>IF(AND($B22=1,S22&lt;&gt;"",NOT(ISNUMBER(FIND("*",S22)))),17,999999)</f>
        <v/>
      </c>
      <c r="CB22">
        <f>IF(AND($B22=1,T22&lt;&gt;"",NOT(ISNUMBER(FIND("*",T22)))),18,999999)</f>
        <v/>
      </c>
      <c r="CC22">
        <f>IF(AND($B22=1,U22&lt;&gt;"",NOT(ISNUMBER(FIND("*",U22)))),19,999999)</f>
        <v/>
      </c>
      <c r="CD22">
        <f>IF(AND($B22=1,V22&lt;&gt;"",NOT(ISNUMBER(FIND("*",V22)))),20,999999)</f>
        <v/>
      </c>
      <c r="CE22">
        <f>IF(MIN(AQ22:BJ22)&gt;=999999999,0,MATCH(MIN(AQ22:BJ22),AQ22:BJ22,0))</f>
        <v/>
      </c>
      <c r="CF22">
        <f>IF($CE22=1,999999999,W22)</f>
        <v/>
      </c>
      <c r="CG22">
        <f>IF($CE22=2,999999999,X22)</f>
        <v/>
      </c>
      <c r="CH22">
        <f>IF($CE22=3,999999999,Y22)</f>
        <v/>
      </c>
      <c r="CI22">
        <f>IF($CE22=4,999999999,Z22)</f>
        <v/>
      </c>
      <c r="CJ22">
        <f>IF($CE22=5,999999999,AA22)</f>
        <v/>
      </c>
      <c r="CK22">
        <f>IF($CE22=6,999999999,AB22)</f>
        <v/>
      </c>
      <c r="CL22">
        <f>IF($CE22=7,999999999,AC22)</f>
        <v/>
      </c>
      <c r="CM22">
        <f>IF($CE22=8,999999999,AD22)</f>
        <v/>
      </c>
      <c r="CN22">
        <f>IF($CE22=9,999999999,AE22)</f>
        <v/>
      </c>
      <c r="CO22">
        <f>IF($CE22=10,999999999,AF22)</f>
        <v/>
      </c>
      <c r="CP22">
        <f>IF($CE22=11,999999999,AG22)</f>
        <v/>
      </c>
      <c r="CQ22">
        <f>IF($CE22=12,999999999,AH22)</f>
        <v/>
      </c>
      <c r="CR22">
        <f>IF($CE22=13,999999999,AI22)</f>
        <v/>
      </c>
      <c r="CS22">
        <f>IF($CE22=14,999999999,AJ22)</f>
        <v/>
      </c>
      <c r="CT22">
        <f>IF($CE22=15,999999999,AK22)</f>
        <v/>
      </c>
      <c r="CU22">
        <f>IF($CE22=16,999999999,AL22)</f>
        <v/>
      </c>
      <c r="CV22">
        <f>IF($CE22=17,999999999,AM22)</f>
        <v/>
      </c>
      <c r="CW22">
        <f>IF($CE22=18,999999999,AN22)</f>
        <v/>
      </c>
      <c r="CX22">
        <f>IF($CE22=19,999999999,AO22)</f>
        <v/>
      </c>
      <c r="CY22">
        <f>IF($CE22=20,999999999,AP22)</f>
        <v/>
      </c>
      <c r="CZ22">
        <f>COUNTIF(W22:AP22,"&lt;999999999")</f>
        <v/>
      </c>
      <c r="DA22">
        <f>COUNTIF(BK22:CD22,"&lt;999999")</f>
        <v/>
      </c>
      <c r="DB22">
        <f>$CZ22-IF($CE22&gt;0,1,0)</f>
        <v/>
      </c>
      <c r="DC22">
        <f>IF(OR($B22=0,C22=""),0,DC21+1)</f>
        <v/>
      </c>
      <c r="DD22">
        <f>IF(OR($B22=0,D22=""),0,DD21+1)</f>
        <v/>
      </c>
      <c r="DE22">
        <f>IF(OR($B22=0,E22=""),0,DE21+1)</f>
        <v/>
      </c>
      <c r="DF22">
        <f>IF(OR($B22=0,F22=""),0,DF21+1)</f>
        <v/>
      </c>
      <c r="DG22">
        <f>IF(OR($B22=0,G22=""),0,DG21+1)</f>
        <v/>
      </c>
      <c r="DH22">
        <f>IF(OR($B22=0,H22=""),0,DH21+1)</f>
        <v/>
      </c>
      <c r="DI22">
        <f>IF(OR($B22=0,I22=""),0,DI21+1)</f>
        <v/>
      </c>
      <c r="DJ22">
        <f>IF(OR($B22=0,J22=""),0,DJ21+1)</f>
        <v/>
      </c>
      <c r="DK22">
        <f>IF(OR($B22=0,K22=""),0,DK21+1)</f>
        <v/>
      </c>
      <c r="DL22">
        <f>IF(OR($B22=0,L22=""),0,DL21+1)</f>
        <v/>
      </c>
      <c r="DM22">
        <f>IF(OR($B22=0,M22=""),0,DM21+1)</f>
        <v/>
      </c>
      <c r="DN22">
        <f>IF(OR($B22=0,N22=""),0,DN21+1)</f>
        <v/>
      </c>
      <c r="DO22">
        <f>IF(OR($B22=0,O22=""),0,DO21+1)</f>
        <v/>
      </c>
      <c r="DP22">
        <f>IF(OR($B22=0,P22=""),0,DP21+1)</f>
        <v/>
      </c>
      <c r="DQ22">
        <f>IF(OR($B22=0,Q22=""),0,DQ21+1)</f>
        <v/>
      </c>
      <c r="DR22">
        <f>IF(OR($B22=0,R22=""),0,DR21+1)</f>
        <v/>
      </c>
      <c r="DS22">
        <f>IF(OR($B22=0,S22=""),0,DS21+1)</f>
        <v/>
      </c>
      <c r="DT22">
        <f>IF(OR($B22=0,T22=""),0,DT21+1)</f>
        <v/>
      </c>
      <c r="DU22">
        <f>IF(OR($B22=0,U22=""),0,DU21+1)</f>
        <v/>
      </c>
      <c r="DV22">
        <f>IF(OR($B22=0,V22=""),0,DV21+1)</f>
        <v/>
      </c>
      <c r="DW22">
        <f>'ตารางเวร'!V$7</f>
        <v/>
      </c>
      <c r="DX22">
        <f>IF($B22=0,0,IF(WEEKDAY('ตารางเวร'!V$6,2)=IFERROR(MATCH('ตารางเวร'!$AM$11,'ตารางเวร'!$AO$10:$AO$17,0),0),1,0))</f>
        <v/>
      </c>
    </row>
    <row r="23">
      <c r="A23" t="n">
        <v>21</v>
      </c>
      <c r="B23">
        <f>IF(21&gt;DAY(EOMONTH(DATE('ตารางเวร'!$B$3-543,'ตารางเวร'!$B$2,1),0)),0,1)</f>
        <v/>
      </c>
      <c r="C23">
        <f>IF($B23=0,"",IFERROR(TRIM(INDEX('ตารางเวร'!$C$10:$AG$29,1,$A23)),""))</f>
        <v/>
      </c>
      <c r="D23">
        <f>IF($B23=0,"",IFERROR(TRIM(INDEX('ตารางเวร'!$C$10:$AG$29,2,$A23)),""))</f>
        <v/>
      </c>
      <c r="E23">
        <f>IF($B23=0,"",IFERROR(TRIM(INDEX('ตารางเวร'!$C$10:$AG$29,3,$A23)),""))</f>
        <v/>
      </c>
      <c r="F23">
        <f>IF($B23=0,"",IFERROR(TRIM(INDEX('ตารางเวร'!$C$10:$AG$29,4,$A23)),""))</f>
        <v/>
      </c>
      <c r="G23">
        <f>IF($B23=0,"",IFERROR(TRIM(INDEX('ตารางเวร'!$C$10:$AG$29,5,$A23)),""))</f>
        <v/>
      </c>
      <c r="H23">
        <f>IF($B23=0,"",IFERROR(TRIM(INDEX('ตารางเวร'!$C$10:$AG$29,6,$A23)),""))</f>
        <v/>
      </c>
      <c r="I23">
        <f>IF($B23=0,"",IFERROR(TRIM(INDEX('ตารางเวร'!$C$10:$AG$29,7,$A23)),""))</f>
        <v/>
      </c>
      <c r="J23">
        <f>IF($B23=0,"",IFERROR(TRIM(INDEX('ตารางเวร'!$C$10:$AG$29,8,$A23)),""))</f>
        <v/>
      </c>
      <c r="K23">
        <f>IF($B23=0,"",IFERROR(TRIM(INDEX('ตารางเวร'!$C$10:$AG$29,9,$A23)),""))</f>
        <v/>
      </c>
      <c r="L23">
        <f>IF($B23=0,"",IFERROR(TRIM(INDEX('ตารางเวร'!$C$10:$AG$29,10,$A23)),""))</f>
        <v/>
      </c>
      <c r="M23">
        <f>IF($B23=0,"",IFERROR(TRIM(INDEX('ตารางเวร'!$C$10:$AG$29,11,$A23)),""))</f>
        <v/>
      </c>
      <c r="N23">
        <f>IF($B23=0,"",IFERROR(TRIM(INDEX('ตารางเวร'!$C$10:$AG$29,12,$A23)),""))</f>
        <v/>
      </c>
      <c r="O23">
        <f>IF($B23=0,"",IFERROR(TRIM(INDEX('ตารางเวร'!$C$10:$AG$29,13,$A23)),""))</f>
        <v/>
      </c>
      <c r="P23">
        <f>IF($B23=0,"",IFERROR(TRIM(INDEX('ตารางเวร'!$C$10:$AG$29,14,$A23)),""))</f>
        <v/>
      </c>
      <c r="Q23">
        <f>IF($B23=0,"",IFERROR(TRIM(INDEX('ตารางเวร'!$C$10:$AG$29,15,$A23)),""))</f>
        <v/>
      </c>
      <c r="R23">
        <f>IF($B23=0,"",IFERROR(TRIM(INDEX('ตารางเวร'!$C$10:$AG$29,16,$A23)),""))</f>
        <v/>
      </c>
      <c r="S23">
        <f>IF($B23=0,"",IFERROR(TRIM(INDEX('ตารางเวร'!$C$10:$AG$29,17,$A23)),""))</f>
        <v/>
      </c>
      <c r="T23">
        <f>IF($B23=0,"",IFERROR(TRIM(INDEX('ตารางเวร'!$C$10:$AG$29,18,$A23)),""))</f>
        <v/>
      </c>
      <c r="U23">
        <f>IF($B23=0,"",IFERROR(TRIM(INDEX('ตารางเวร'!$C$10:$AG$29,19,$A23)),""))</f>
        <v/>
      </c>
      <c r="V23">
        <f>IF($B23=0,"",IFERROR(TRIM(INDEX('ตารางเวร'!$C$10:$AG$29,20,$A23)),""))</f>
        <v/>
      </c>
      <c r="W23">
        <f>IF(AND($B23=1,C23&lt;&gt;"",ISNUMBER(FIND("*",C23))),MOD((MOD('ตารางเวร'!$B$4,9973)*7919+$A23*40289)*(1*104729+7919),99991)*100+1,999999999)</f>
        <v/>
      </c>
      <c r="X23">
        <f>IF(AND($B23=1,D23&lt;&gt;"",ISNUMBER(FIND("*",D23))),MOD((MOD('ตารางเวร'!$B$4,9973)*7919+$A23*40289)*(2*104729+7919),99991)*100+2,999999999)</f>
        <v/>
      </c>
      <c r="Y23">
        <f>IF(AND($B23=1,E23&lt;&gt;"",ISNUMBER(FIND("*",E23))),MOD((MOD('ตารางเวร'!$B$4,9973)*7919+$A23*40289)*(3*104729+7919),99991)*100+3,999999999)</f>
        <v/>
      </c>
      <c r="Z23">
        <f>IF(AND($B23=1,F23&lt;&gt;"",ISNUMBER(FIND("*",F23))),MOD((MOD('ตารางเวร'!$B$4,9973)*7919+$A23*40289)*(4*104729+7919),99991)*100+4,999999999)</f>
        <v/>
      </c>
      <c r="AA23">
        <f>IF(AND($B23=1,G23&lt;&gt;"",ISNUMBER(FIND("*",G23))),MOD((MOD('ตารางเวร'!$B$4,9973)*7919+$A23*40289)*(5*104729+7919),99991)*100+5,999999999)</f>
        <v/>
      </c>
      <c r="AB23">
        <f>IF(AND($B23=1,H23&lt;&gt;"",ISNUMBER(FIND("*",H23))),MOD((MOD('ตารางเวร'!$B$4,9973)*7919+$A23*40289)*(6*104729+7919),99991)*100+6,999999999)</f>
        <v/>
      </c>
      <c r="AC23">
        <f>IF(AND($B23=1,I23&lt;&gt;"",ISNUMBER(FIND("*",I23))),MOD((MOD('ตารางเวร'!$B$4,9973)*7919+$A23*40289)*(7*104729+7919),99991)*100+7,999999999)</f>
        <v/>
      </c>
      <c r="AD23">
        <f>IF(AND($B23=1,J23&lt;&gt;"",ISNUMBER(FIND("*",J23))),MOD((MOD('ตารางเวร'!$B$4,9973)*7919+$A23*40289)*(8*104729+7919),99991)*100+8,999999999)</f>
        <v/>
      </c>
      <c r="AE23">
        <f>IF(AND($B23=1,K23&lt;&gt;"",ISNUMBER(FIND("*",K23))),MOD((MOD('ตารางเวร'!$B$4,9973)*7919+$A23*40289)*(9*104729+7919),99991)*100+9,999999999)</f>
        <v/>
      </c>
      <c r="AF23">
        <f>IF(AND($B23=1,L23&lt;&gt;"",ISNUMBER(FIND("*",L23))),MOD((MOD('ตารางเวร'!$B$4,9973)*7919+$A23*40289)*(10*104729+7919),99991)*100+10,999999999)</f>
        <v/>
      </c>
      <c r="AG23">
        <f>IF(AND($B23=1,M23&lt;&gt;"",ISNUMBER(FIND("*",M23))),MOD((MOD('ตารางเวร'!$B$4,9973)*7919+$A23*40289)*(11*104729+7919),99991)*100+11,999999999)</f>
        <v/>
      </c>
      <c r="AH23">
        <f>IF(AND($B23=1,N23&lt;&gt;"",ISNUMBER(FIND("*",N23))),MOD((MOD('ตารางเวร'!$B$4,9973)*7919+$A23*40289)*(12*104729+7919),99991)*100+12,999999999)</f>
        <v/>
      </c>
      <c r="AI23">
        <f>IF(AND($B23=1,O23&lt;&gt;"",ISNUMBER(FIND("*",O23))),MOD((MOD('ตารางเวร'!$B$4,9973)*7919+$A23*40289)*(13*104729+7919),99991)*100+13,999999999)</f>
        <v/>
      </c>
      <c r="AJ23">
        <f>IF(AND($B23=1,P23&lt;&gt;"",ISNUMBER(FIND("*",P23))),MOD((MOD('ตารางเวร'!$B$4,9973)*7919+$A23*40289)*(14*104729+7919),99991)*100+14,999999999)</f>
        <v/>
      </c>
      <c r="AK23">
        <f>IF(AND($B23=1,Q23&lt;&gt;"",ISNUMBER(FIND("*",Q23))),MOD((MOD('ตารางเวร'!$B$4,9973)*7919+$A23*40289)*(15*104729+7919),99991)*100+15,999999999)</f>
        <v/>
      </c>
      <c r="AL23">
        <f>IF(AND($B23=1,R23&lt;&gt;"",ISNUMBER(FIND("*",R23))),MOD((MOD('ตารางเวร'!$B$4,9973)*7919+$A23*40289)*(16*104729+7919),99991)*100+16,999999999)</f>
        <v/>
      </c>
      <c r="AM23">
        <f>IF(AND($B23=1,S23&lt;&gt;"",ISNUMBER(FIND("*",S23))),MOD((MOD('ตารางเวร'!$B$4,9973)*7919+$A23*40289)*(17*104729+7919),99991)*100+17,999999999)</f>
        <v/>
      </c>
      <c r="AN23">
        <f>IF(AND($B23=1,T23&lt;&gt;"",ISNUMBER(FIND("*",T23))),MOD((MOD('ตารางเวร'!$B$4,9973)*7919+$A23*40289)*(18*104729+7919),99991)*100+18,999999999)</f>
        <v/>
      </c>
      <c r="AO23">
        <f>IF(AND($B23=1,U23&lt;&gt;"",ISNUMBER(FIND("*",U23))),MOD((MOD('ตารางเวร'!$B$4,9973)*7919+$A23*40289)*(19*104729+7919),99991)*100+19,999999999)</f>
        <v/>
      </c>
      <c r="AP23">
        <f>IF(AND($B23=1,V23&lt;&gt;"",ISNUMBER(FIND("*",V23))),MOD((MOD('ตารางเวร'!$B$4,9973)*7919+$A23*40289)*(20*104729+7919),99991)*100+20,999999999)</f>
        <v/>
      </c>
      <c r="AQ23">
        <f>IF(TRIM('ตารางเวร'!$B$10)&lt;&gt;"",999999999,W23)</f>
        <v/>
      </c>
      <c r="AR23">
        <f>IF(TRIM('ตารางเวร'!$B$11)&lt;&gt;"",999999999,X23)</f>
        <v/>
      </c>
      <c r="AS23">
        <f>IF(TRIM('ตารางเวร'!$B$12)&lt;&gt;"",999999999,Y23)</f>
        <v/>
      </c>
      <c r="AT23">
        <f>IF(TRIM('ตารางเวร'!$B$13)&lt;&gt;"",999999999,Z23)</f>
        <v/>
      </c>
      <c r="AU23">
        <f>IF(TRIM('ตารางเวร'!$B$14)&lt;&gt;"",999999999,AA23)</f>
        <v/>
      </c>
      <c r="AV23">
        <f>IF(TRIM('ตารางเวร'!$B$15)&lt;&gt;"",999999999,AB23)</f>
        <v/>
      </c>
      <c r="AW23">
        <f>IF(TRIM('ตารางเวร'!$B$16)&lt;&gt;"",999999999,AC23)</f>
        <v/>
      </c>
      <c r="AX23">
        <f>IF(TRIM('ตารางเวร'!$B$17)&lt;&gt;"",999999999,AD23)</f>
        <v/>
      </c>
      <c r="AY23">
        <f>IF(TRIM('ตารางเวร'!$B$18)&lt;&gt;"",999999999,AE23)</f>
        <v/>
      </c>
      <c r="AZ23">
        <f>IF(TRIM('ตารางเวร'!$B$19)&lt;&gt;"",999999999,AF23)</f>
        <v/>
      </c>
      <c r="BA23">
        <f>IF(TRIM('ตารางเวร'!$B$20)&lt;&gt;"",999999999,AG23)</f>
        <v/>
      </c>
      <c r="BB23">
        <f>IF(TRIM('ตารางเวร'!$B$21)&lt;&gt;"",999999999,AH23)</f>
        <v/>
      </c>
      <c r="BC23">
        <f>IF(TRIM('ตารางเวร'!$B$22)&lt;&gt;"",999999999,AI23)</f>
        <v/>
      </c>
      <c r="BD23">
        <f>IF(TRIM('ตารางเวร'!$B$23)&lt;&gt;"",999999999,AJ23)</f>
        <v/>
      </c>
      <c r="BE23">
        <f>IF(TRIM('ตารางเวร'!$B$24)&lt;&gt;"",999999999,AK23)</f>
        <v/>
      </c>
      <c r="BF23">
        <f>IF(TRIM('ตารางเวร'!$B$25)&lt;&gt;"",999999999,AL23)</f>
        <v/>
      </c>
      <c r="BG23">
        <f>IF(TRIM('ตารางเวร'!$B$26)&lt;&gt;"",999999999,AM23)</f>
        <v/>
      </c>
      <c r="BH23">
        <f>IF(TRIM('ตารางเวร'!$B$27)&lt;&gt;"",999999999,AN23)</f>
        <v/>
      </c>
      <c r="BI23">
        <f>IF(TRIM('ตารางเวร'!$B$28)&lt;&gt;"",999999999,AO23)</f>
        <v/>
      </c>
      <c r="BJ23">
        <f>IF(TRIM('ตารางเวร'!$B$29)&lt;&gt;"",999999999,AP23)</f>
        <v/>
      </c>
      <c r="BK23">
        <f>IF(AND($B23=1,C23&lt;&gt;"",NOT(ISNUMBER(FIND("*",C23)))),1,999999)</f>
        <v/>
      </c>
      <c r="BL23">
        <f>IF(AND($B23=1,D23&lt;&gt;"",NOT(ISNUMBER(FIND("*",D23)))),2,999999)</f>
        <v/>
      </c>
      <c r="BM23">
        <f>IF(AND($B23=1,E23&lt;&gt;"",NOT(ISNUMBER(FIND("*",E23)))),3,999999)</f>
        <v/>
      </c>
      <c r="BN23">
        <f>IF(AND($B23=1,F23&lt;&gt;"",NOT(ISNUMBER(FIND("*",F23)))),4,999999)</f>
        <v/>
      </c>
      <c r="BO23">
        <f>IF(AND($B23=1,G23&lt;&gt;"",NOT(ISNUMBER(FIND("*",G23)))),5,999999)</f>
        <v/>
      </c>
      <c r="BP23">
        <f>IF(AND($B23=1,H23&lt;&gt;"",NOT(ISNUMBER(FIND("*",H23)))),6,999999)</f>
        <v/>
      </c>
      <c r="BQ23">
        <f>IF(AND($B23=1,I23&lt;&gt;"",NOT(ISNUMBER(FIND("*",I23)))),7,999999)</f>
        <v/>
      </c>
      <c r="BR23">
        <f>IF(AND($B23=1,J23&lt;&gt;"",NOT(ISNUMBER(FIND("*",J23)))),8,999999)</f>
        <v/>
      </c>
      <c r="BS23">
        <f>IF(AND($B23=1,K23&lt;&gt;"",NOT(ISNUMBER(FIND("*",K23)))),9,999999)</f>
        <v/>
      </c>
      <c r="BT23">
        <f>IF(AND($B23=1,L23&lt;&gt;"",NOT(ISNUMBER(FIND("*",L23)))),10,999999)</f>
        <v/>
      </c>
      <c r="BU23">
        <f>IF(AND($B23=1,M23&lt;&gt;"",NOT(ISNUMBER(FIND("*",M23)))),11,999999)</f>
        <v/>
      </c>
      <c r="BV23">
        <f>IF(AND($B23=1,N23&lt;&gt;"",NOT(ISNUMBER(FIND("*",N23)))),12,999999)</f>
        <v/>
      </c>
      <c r="BW23">
        <f>IF(AND($B23=1,O23&lt;&gt;"",NOT(ISNUMBER(FIND("*",O23)))),13,999999)</f>
        <v/>
      </c>
      <c r="BX23">
        <f>IF(AND($B23=1,P23&lt;&gt;"",NOT(ISNUMBER(FIND("*",P23)))),14,999999)</f>
        <v/>
      </c>
      <c r="BY23">
        <f>IF(AND($B23=1,Q23&lt;&gt;"",NOT(ISNUMBER(FIND("*",Q23)))),15,999999)</f>
        <v/>
      </c>
      <c r="BZ23">
        <f>IF(AND($B23=1,R23&lt;&gt;"",NOT(ISNUMBER(FIND("*",R23)))),16,999999)</f>
        <v/>
      </c>
      <c r="CA23">
        <f>IF(AND($B23=1,S23&lt;&gt;"",NOT(ISNUMBER(FIND("*",S23)))),17,999999)</f>
        <v/>
      </c>
      <c r="CB23">
        <f>IF(AND($B23=1,T23&lt;&gt;"",NOT(ISNUMBER(FIND("*",T23)))),18,999999)</f>
        <v/>
      </c>
      <c r="CC23">
        <f>IF(AND($B23=1,U23&lt;&gt;"",NOT(ISNUMBER(FIND("*",U23)))),19,999999)</f>
        <v/>
      </c>
      <c r="CD23">
        <f>IF(AND($B23=1,V23&lt;&gt;"",NOT(ISNUMBER(FIND("*",V23)))),20,999999)</f>
        <v/>
      </c>
      <c r="CE23">
        <f>IF(MIN(AQ23:BJ23)&gt;=999999999,0,MATCH(MIN(AQ23:BJ23),AQ23:BJ23,0))</f>
        <v/>
      </c>
      <c r="CF23">
        <f>IF($CE23=1,999999999,W23)</f>
        <v/>
      </c>
      <c r="CG23">
        <f>IF($CE23=2,999999999,X23)</f>
        <v/>
      </c>
      <c r="CH23">
        <f>IF($CE23=3,999999999,Y23)</f>
        <v/>
      </c>
      <c r="CI23">
        <f>IF($CE23=4,999999999,Z23)</f>
        <v/>
      </c>
      <c r="CJ23">
        <f>IF($CE23=5,999999999,AA23)</f>
        <v/>
      </c>
      <c r="CK23">
        <f>IF($CE23=6,999999999,AB23)</f>
        <v/>
      </c>
      <c r="CL23">
        <f>IF($CE23=7,999999999,AC23)</f>
        <v/>
      </c>
      <c r="CM23">
        <f>IF($CE23=8,999999999,AD23)</f>
        <v/>
      </c>
      <c r="CN23">
        <f>IF($CE23=9,999999999,AE23)</f>
        <v/>
      </c>
      <c r="CO23">
        <f>IF($CE23=10,999999999,AF23)</f>
        <v/>
      </c>
      <c r="CP23">
        <f>IF($CE23=11,999999999,AG23)</f>
        <v/>
      </c>
      <c r="CQ23">
        <f>IF($CE23=12,999999999,AH23)</f>
        <v/>
      </c>
      <c r="CR23">
        <f>IF($CE23=13,999999999,AI23)</f>
        <v/>
      </c>
      <c r="CS23">
        <f>IF($CE23=14,999999999,AJ23)</f>
        <v/>
      </c>
      <c r="CT23">
        <f>IF($CE23=15,999999999,AK23)</f>
        <v/>
      </c>
      <c r="CU23">
        <f>IF($CE23=16,999999999,AL23)</f>
        <v/>
      </c>
      <c r="CV23">
        <f>IF($CE23=17,999999999,AM23)</f>
        <v/>
      </c>
      <c r="CW23">
        <f>IF($CE23=18,999999999,AN23)</f>
        <v/>
      </c>
      <c r="CX23">
        <f>IF($CE23=19,999999999,AO23)</f>
        <v/>
      </c>
      <c r="CY23">
        <f>IF($CE23=20,999999999,AP23)</f>
        <v/>
      </c>
      <c r="CZ23">
        <f>COUNTIF(W23:AP23,"&lt;999999999")</f>
        <v/>
      </c>
      <c r="DA23">
        <f>COUNTIF(BK23:CD23,"&lt;999999")</f>
        <v/>
      </c>
      <c r="DB23">
        <f>$CZ23-IF($CE23&gt;0,1,0)</f>
        <v/>
      </c>
      <c r="DC23">
        <f>IF(OR($B23=0,C23=""),0,DC22+1)</f>
        <v/>
      </c>
      <c r="DD23">
        <f>IF(OR($B23=0,D23=""),0,DD22+1)</f>
        <v/>
      </c>
      <c r="DE23">
        <f>IF(OR($B23=0,E23=""),0,DE22+1)</f>
        <v/>
      </c>
      <c r="DF23">
        <f>IF(OR($B23=0,F23=""),0,DF22+1)</f>
        <v/>
      </c>
      <c r="DG23">
        <f>IF(OR($B23=0,G23=""),0,DG22+1)</f>
        <v/>
      </c>
      <c r="DH23">
        <f>IF(OR($B23=0,H23=""),0,DH22+1)</f>
        <v/>
      </c>
      <c r="DI23">
        <f>IF(OR($B23=0,I23=""),0,DI22+1)</f>
        <v/>
      </c>
      <c r="DJ23">
        <f>IF(OR($B23=0,J23=""),0,DJ22+1)</f>
        <v/>
      </c>
      <c r="DK23">
        <f>IF(OR($B23=0,K23=""),0,DK22+1)</f>
        <v/>
      </c>
      <c r="DL23">
        <f>IF(OR($B23=0,L23=""),0,DL22+1)</f>
        <v/>
      </c>
      <c r="DM23">
        <f>IF(OR($B23=0,M23=""),0,DM22+1)</f>
        <v/>
      </c>
      <c r="DN23">
        <f>IF(OR($B23=0,N23=""),0,DN22+1)</f>
        <v/>
      </c>
      <c r="DO23">
        <f>IF(OR($B23=0,O23=""),0,DO22+1)</f>
        <v/>
      </c>
      <c r="DP23">
        <f>IF(OR($B23=0,P23=""),0,DP22+1)</f>
        <v/>
      </c>
      <c r="DQ23">
        <f>IF(OR($B23=0,Q23=""),0,DQ22+1)</f>
        <v/>
      </c>
      <c r="DR23">
        <f>IF(OR($B23=0,R23=""),0,DR22+1)</f>
        <v/>
      </c>
      <c r="DS23">
        <f>IF(OR($B23=0,S23=""),0,DS22+1)</f>
        <v/>
      </c>
      <c r="DT23">
        <f>IF(OR($B23=0,T23=""),0,DT22+1)</f>
        <v/>
      </c>
      <c r="DU23">
        <f>IF(OR($B23=0,U23=""),0,DU22+1)</f>
        <v/>
      </c>
      <c r="DV23">
        <f>IF(OR($B23=0,V23=""),0,DV22+1)</f>
        <v/>
      </c>
      <c r="DW23">
        <f>'ตารางเวร'!W$7</f>
        <v/>
      </c>
      <c r="DX23">
        <f>IF($B23=0,0,IF(WEEKDAY('ตารางเวร'!W$6,2)=IFERROR(MATCH('ตารางเวร'!$AM$11,'ตารางเวร'!$AO$10:$AO$17,0),0),1,0))</f>
        <v/>
      </c>
    </row>
    <row r="24">
      <c r="A24" t="n">
        <v>22</v>
      </c>
      <c r="B24">
        <f>IF(22&gt;DAY(EOMONTH(DATE('ตารางเวร'!$B$3-543,'ตารางเวร'!$B$2,1),0)),0,1)</f>
        <v/>
      </c>
      <c r="C24">
        <f>IF($B24=0,"",IFERROR(TRIM(INDEX('ตารางเวร'!$C$10:$AG$29,1,$A24)),""))</f>
        <v/>
      </c>
      <c r="D24">
        <f>IF($B24=0,"",IFERROR(TRIM(INDEX('ตารางเวร'!$C$10:$AG$29,2,$A24)),""))</f>
        <v/>
      </c>
      <c r="E24">
        <f>IF($B24=0,"",IFERROR(TRIM(INDEX('ตารางเวร'!$C$10:$AG$29,3,$A24)),""))</f>
        <v/>
      </c>
      <c r="F24">
        <f>IF($B24=0,"",IFERROR(TRIM(INDEX('ตารางเวร'!$C$10:$AG$29,4,$A24)),""))</f>
        <v/>
      </c>
      <c r="G24">
        <f>IF($B24=0,"",IFERROR(TRIM(INDEX('ตารางเวร'!$C$10:$AG$29,5,$A24)),""))</f>
        <v/>
      </c>
      <c r="H24">
        <f>IF($B24=0,"",IFERROR(TRIM(INDEX('ตารางเวร'!$C$10:$AG$29,6,$A24)),""))</f>
        <v/>
      </c>
      <c r="I24">
        <f>IF($B24=0,"",IFERROR(TRIM(INDEX('ตารางเวร'!$C$10:$AG$29,7,$A24)),""))</f>
        <v/>
      </c>
      <c r="J24">
        <f>IF($B24=0,"",IFERROR(TRIM(INDEX('ตารางเวร'!$C$10:$AG$29,8,$A24)),""))</f>
        <v/>
      </c>
      <c r="K24">
        <f>IF($B24=0,"",IFERROR(TRIM(INDEX('ตารางเวร'!$C$10:$AG$29,9,$A24)),""))</f>
        <v/>
      </c>
      <c r="L24">
        <f>IF($B24=0,"",IFERROR(TRIM(INDEX('ตารางเวร'!$C$10:$AG$29,10,$A24)),""))</f>
        <v/>
      </c>
      <c r="M24">
        <f>IF($B24=0,"",IFERROR(TRIM(INDEX('ตารางเวร'!$C$10:$AG$29,11,$A24)),""))</f>
        <v/>
      </c>
      <c r="N24">
        <f>IF($B24=0,"",IFERROR(TRIM(INDEX('ตารางเวร'!$C$10:$AG$29,12,$A24)),""))</f>
        <v/>
      </c>
      <c r="O24">
        <f>IF($B24=0,"",IFERROR(TRIM(INDEX('ตารางเวร'!$C$10:$AG$29,13,$A24)),""))</f>
        <v/>
      </c>
      <c r="P24">
        <f>IF($B24=0,"",IFERROR(TRIM(INDEX('ตารางเวร'!$C$10:$AG$29,14,$A24)),""))</f>
        <v/>
      </c>
      <c r="Q24">
        <f>IF($B24=0,"",IFERROR(TRIM(INDEX('ตารางเวร'!$C$10:$AG$29,15,$A24)),""))</f>
        <v/>
      </c>
      <c r="R24">
        <f>IF($B24=0,"",IFERROR(TRIM(INDEX('ตารางเวร'!$C$10:$AG$29,16,$A24)),""))</f>
        <v/>
      </c>
      <c r="S24">
        <f>IF($B24=0,"",IFERROR(TRIM(INDEX('ตารางเวร'!$C$10:$AG$29,17,$A24)),""))</f>
        <v/>
      </c>
      <c r="T24">
        <f>IF($B24=0,"",IFERROR(TRIM(INDEX('ตารางเวร'!$C$10:$AG$29,18,$A24)),""))</f>
        <v/>
      </c>
      <c r="U24">
        <f>IF($B24=0,"",IFERROR(TRIM(INDEX('ตารางเวร'!$C$10:$AG$29,19,$A24)),""))</f>
        <v/>
      </c>
      <c r="V24">
        <f>IF($B24=0,"",IFERROR(TRIM(INDEX('ตารางเวร'!$C$10:$AG$29,20,$A24)),""))</f>
        <v/>
      </c>
      <c r="W24">
        <f>IF(AND($B24=1,C24&lt;&gt;"",ISNUMBER(FIND("*",C24))),MOD((MOD('ตารางเวร'!$B$4,9973)*7919+$A24*40289)*(1*104729+7919),99991)*100+1,999999999)</f>
        <v/>
      </c>
      <c r="X24">
        <f>IF(AND($B24=1,D24&lt;&gt;"",ISNUMBER(FIND("*",D24))),MOD((MOD('ตารางเวร'!$B$4,9973)*7919+$A24*40289)*(2*104729+7919),99991)*100+2,999999999)</f>
        <v/>
      </c>
      <c r="Y24">
        <f>IF(AND($B24=1,E24&lt;&gt;"",ISNUMBER(FIND("*",E24))),MOD((MOD('ตารางเวร'!$B$4,9973)*7919+$A24*40289)*(3*104729+7919),99991)*100+3,999999999)</f>
        <v/>
      </c>
      <c r="Z24">
        <f>IF(AND($B24=1,F24&lt;&gt;"",ISNUMBER(FIND("*",F24))),MOD((MOD('ตารางเวร'!$B$4,9973)*7919+$A24*40289)*(4*104729+7919),99991)*100+4,999999999)</f>
        <v/>
      </c>
      <c r="AA24">
        <f>IF(AND($B24=1,G24&lt;&gt;"",ISNUMBER(FIND("*",G24))),MOD((MOD('ตารางเวร'!$B$4,9973)*7919+$A24*40289)*(5*104729+7919),99991)*100+5,999999999)</f>
        <v/>
      </c>
      <c r="AB24">
        <f>IF(AND($B24=1,H24&lt;&gt;"",ISNUMBER(FIND("*",H24))),MOD((MOD('ตารางเวร'!$B$4,9973)*7919+$A24*40289)*(6*104729+7919),99991)*100+6,999999999)</f>
        <v/>
      </c>
      <c r="AC24">
        <f>IF(AND($B24=1,I24&lt;&gt;"",ISNUMBER(FIND("*",I24))),MOD((MOD('ตารางเวร'!$B$4,9973)*7919+$A24*40289)*(7*104729+7919),99991)*100+7,999999999)</f>
        <v/>
      </c>
      <c r="AD24">
        <f>IF(AND($B24=1,J24&lt;&gt;"",ISNUMBER(FIND("*",J24))),MOD((MOD('ตารางเวร'!$B$4,9973)*7919+$A24*40289)*(8*104729+7919),99991)*100+8,999999999)</f>
        <v/>
      </c>
      <c r="AE24">
        <f>IF(AND($B24=1,K24&lt;&gt;"",ISNUMBER(FIND("*",K24))),MOD((MOD('ตารางเวร'!$B$4,9973)*7919+$A24*40289)*(9*104729+7919),99991)*100+9,999999999)</f>
        <v/>
      </c>
      <c r="AF24">
        <f>IF(AND($B24=1,L24&lt;&gt;"",ISNUMBER(FIND("*",L24))),MOD((MOD('ตารางเวร'!$B$4,9973)*7919+$A24*40289)*(10*104729+7919),99991)*100+10,999999999)</f>
        <v/>
      </c>
      <c r="AG24">
        <f>IF(AND($B24=1,M24&lt;&gt;"",ISNUMBER(FIND("*",M24))),MOD((MOD('ตารางเวร'!$B$4,9973)*7919+$A24*40289)*(11*104729+7919),99991)*100+11,999999999)</f>
        <v/>
      </c>
      <c r="AH24">
        <f>IF(AND($B24=1,N24&lt;&gt;"",ISNUMBER(FIND("*",N24))),MOD((MOD('ตารางเวร'!$B$4,9973)*7919+$A24*40289)*(12*104729+7919),99991)*100+12,999999999)</f>
        <v/>
      </c>
      <c r="AI24">
        <f>IF(AND($B24=1,O24&lt;&gt;"",ISNUMBER(FIND("*",O24))),MOD((MOD('ตารางเวร'!$B$4,9973)*7919+$A24*40289)*(13*104729+7919),99991)*100+13,999999999)</f>
        <v/>
      </c>
      <c r="AJ24">
        <f>IF(AND($B24=1,P24&lt;&gt;"",ISNUMBER(FIND("*",P24))),MOD((MOD('ตารางเวร'!$B$4,9973)*7919+$A24*40289)*(14*104729+7919),99991)*100+14,999999999)</f>
        <v/>
      </c>
      <c r="AK24">
        <f>IF(AND($B24=1,Q24&lt;&gt;"",ISNUMBER(FIND("*",Q24))),MOD((MOD('ตารางเวร'!$B$4,9973)*7919+$A24*40289)*(15*104729+7919),99991)*100+15,999999999)</f>
        <v/>
      </c>
      <c r="AL24">
        <f>IF(AND($B24=1,R24&lt;&gt;"",ISNUMBER(FIND("*",R24))),MOD((MOD('ตารางเวร'!$B$4,9973)*7919+$A24*40289)*(16*104729+7919),99991)*100+16,999999999)</f>
        <v/>
      </c>
      <c r="AM24">
        <f>IF(AND($B24=1,S24&lt;&gt;"",ISNUMBER(FIND("*",S24))),MOD((MOD('ตารางเวร'!$B$4,9973)*7919+$A24*40289)*(17*104729+7919),99991)*100+17,999999999)</f>
        <v/>
      </c>
      <c r="AN24">
        <f>IF(AND($B24=1,T24&lt;&gt;"",ISNUMBER(FIND("*",T24))),MOD((MOD('ตารางเวร'!$B$4,9973)*7919+$A24*40289)*(18*104729+7919),99991)*100+18,999999999)</f>
        <v/>
      </c>
      <c r="AO24">
        <f>IF(AND($B24=1,U24&lt;&gt;"",ISNUMBER(FIND("*",U24))),MOD((MOD('ตารางเวร'!$B$4,9973)*7919+$A24*40289)*(19*104729+7919),99991)*100+19,999999999)</f>
        <v/>
      </c>
      <c r="AP24">
        <f>IF(AND($B24=1,V24&lt;&gt;"",ISNUMBER(FIND("*",V24))),MOD((MOD('ตารางเวร'!$B$4,9973)*7919+$A24*40289)*(20*104729+7919),99991)*100+20,999999999)</f>
        <v/>
      </c>
      <c r="AQ24">
        <f>IF(TRIM('ตารางเวร'!$B$10)&lt;&gt;"",999999999,W24)</f>
        <v/>
      </c>
      <c r="AR24">
        <f>IF(TRIM('ตารางเวร'!$B$11)&lt;&gt;"",999999999,X24)</f>
        <v/>
      </c>
      <c r="AS24">
        <f>IF(TRIM('ตารางเวร'!$B$12)&lt;&gt;"",999999999,Y24)</f>
        <v/>
      </c>
      <c r="AT24">
        <f>IF(TRIM('ตารางเวร'!$B$13)&lt;&gt;"",999999999,Z24)</f>
        <v/>
      </c>
      <c r="AU24">
        <f>IF(TRIM('ตารางเวร'!$B$14)&lt;&gt;"",999999999,AA24)</f>
        <v/>
      </c>
      <c r="AV24">
        <f>IF(TRIM('ตารางเวร'!$B$15)&lt;&gt;"",999999999,AB24)</f>
        <v/>
      </c>
      <c r="AW24">
        <f>IF(TRIM('ตารางเวร'!$B$16)&lt;&gt;"",999999999,AC24)</f>
        <v/>
      </c>
      <c r="AX24">
        <f>IF(TRIM('ตารางเวร'!$B$17)&lt;&gt;"",999999999,AD24)</f>
        <v/>
      </c>
      <c r="AY24">
        <f>IF(TRIM('ตารางเวร'!$B$18)&lt;&gt;"",999999999,AE24)</f>
        <v/>
      </c>
      <c r="AZ24">
        <f>IF(TRIM('ตารางเวร'!$B$19)&lt;&gt;"",999999999,AF24)</f>
        <v/>
      </c>
      <c r="BA24">
        <f>IF(TRIM('ตารางเวร'!$B$20)&lt;&gt;"",999999999,AG24)</f>
        <v/>
      </c>
      <c r="BB24">
        <f>IF(TRIM('ตารางเวร'!$B$21)&lt;&gt;"",999999999,AH24)</f>
        <v/>
      </c>
      <c r="BC24">
        <f>IF(TRIM('ตารางเวร'!$B$22)&lt;&gt;"",999999999,AI24)</f>
        <v/>
      </c>
      <c r="BD24">
        <f>IF(TRIM('ตารางเวร'!$B$23)&lt;&gt;"",999999999,AJ24)</f>
        <v/>
      </c>
      <c r="BE24">
        <f>IF(TRIM('ตารางเวร'!$B$24)&lt;&gt;"",999999999,AK24)</f>
        <v/>
      </c>
      <c r="BF24">
        <f>IF(TRIM('ตารางเวร'!$B$25)&lt;&gt;"",999999999,AL24)</f>
        <v/>
      </c>
      <c r="BG24">
        <f>IF(TRIM('ตารางเวร'!$B$26)&lt;&gt;"",999999999,AM24)</f>
        <v/>
      </c>
      <c r="BH24">
        <f>IF(TRIM('ตารางเวร'!$B$27)&lt;&gt;"",999999999,AN24)</f>
        <v/>
      </c>
      <c r="BI24">
        <f>IF(TRIM('ตารางเวร'!$B$28)&lt;&gt;"",999999999,AO24)</f>
        <v/>
      </c>
      <c r="BJ24">
        <f>IF(TRIM('ตารางเวร'!$B$29)&lt;&gt;"",999999999,AP24)</f>
        <v/>
      </c>
      <c r="BK24">
        <f>IF(AND($B24=1,C24&lt;&gt;"",NOT(ISNUMBER(FIND("*",C24)))),1,999999)</f>
        <v/>
      </c>
      <c r="BL24">
        <f>IF(AND($B24=1,D24&lt;&gt;"",NOT(ISNUMBER(FIND("*",D24)))),2,999999)</f>
        <v/>
      </c>
      <c r="BM24">
        <f>IF(AND($B24=1,E24&lt;&gt;"",NOT(ISNUMBER(FIND("*",E24)))),3,999999)</f>
        <v/>
      </c>
      <c r="BN24">
        <f>IF(AND($B24=1,F24&lt;&gt;"",NOT(ISNUMBER(FIND("*",F24)))),4,999999)</f>
        <v/>
      </c>
      <c r="BO24">
        <f>IF(AND($B24=1,G24&lt;&gt;"",NOT(ISNUMBER(FIND("*",G24)))),5,999999)</f>
        <v/>
      </c>
      <c r="BP24">
        <f>IF(AND($B24=1,H24&lt;&gt;"",NOT(ISNUMBER(FIND("*",H24)))),6,999999)</f>
        <v/>
      </c>
      <c r="BQ24">
        <f>IF(AND($B24=1,I24&lt;&gt;"",NOT(ISNUMBER(FIND("*",I24)))),7,999999)</f>
        <v/>
      </c>
      <c r="BR24">
        <f>IF(AND($B24=1,J24&lt;&gt;"",NOT(ISNUMBER(FIND("*",J24)))),8,999999)</f>
        <v/>
      </c>
      <c r="BS24">
        <f>IF(AND($B24=1,K24&lt;&gt;"",NOT(ISNUMBER(FIND("*",K24)))),9,999999)</f>
        <v/>
      </c>
      <c r="BT24">
        <f>IF(AND($B24=1,L24&lt;&gt;"",NOT(ISNUMBER(FIND("*",L24)))),10,999999)</f>
        <v/>
      </c>
      <c r="BU24">
        <f>IF(AND($B24=1,M24&lt;&gt;"",NOT(ISNUMBER(FIND("*",M24)))),11,999999)</f>
        <v/>
      </c>
      <c r="BV24">
        <f>IF(AND($B24=1,N24&lt;&gt;"",NOT(ISNUMBER(FIND("*",N24)))),12,999999)</f>
        <v/>
      </c>
      <c r="BW24">
        <f>IF(AND($B24=1,O24&lt;&gt;"",NOT(ISNUMBER(FIND("*",O24)))),13,999999)</f>
        <v/>
      </c>
      <c r="BX24">
        <f>IF(AND($B24=1,P24&lt;&gt;"",NOT(ISNUMBER(FIND("*",P24)))),14,999999)</f>
        <v/>
      </c>
      <c r="BY24">
        <f>IF(AND($B24=1,Q24&lt;&gt;"",NOT(ISNUMBER(FIND("*",Q24)))),15,999999)</f>
        <v/>
      </c>
      <c r="BZ24">
        <f>IF(AND($B24=1,R24&lt;&gt;"",NOT(ISNUMBER(FIND("*",R24)))),16,999999)</f>
        <v/>
      </c>
      <c r="CA24">
        <f>IF(AND($B24=1,S24&lt;&gt;"",NOT(ISNUMBER(FIND("*",S24)))),17,999999)</f>
        <v/>
      </c>
      <c r="CB24">
        <f>IF(AND($B24=1,T24&lt;&gt;"",NOT(ISNUMBER(FIND("*",T24)))),18,999999)</f>
        <v/>
      </c>
      <c r="CC24">
        <f>IF(AND($B24=1,U24&lt;&gt;"",NOT(ISNUMBER(FIND("*",U24)))),19,999999)</f>
        <v/>
      </c>
      <c r="CD24">
        <f>IF(AND($B24=1,V24&lt;&gt;"",NOT(ISNUMBER(FIND("*",V24)))),20,999999)</f>
        <v/>
      </c>
      <c r="CE24">
        <f>IF(MIN(AQ24:BJ24)&gt;=999999999,0,MATCH(MIN(AQ24:BJ24),AQ24:BJ24,0))</f>
        <v/>
      </c>
      <c r="CF24">
        <f>IF($CE24=1,999999999,W24)</f>
        <v/>
      </c>
      <c r="CG24">
        <f>IF($CE24=2,999999999,X24)</f>
        <v/>
      </c>
      <c r="CH24">
        <f>IF($CE24=3,999999999,Y24)</f>
        <v/>
      </c>
      <c r="CI24">
        <f>IF($CE24=4,999999999,Z24)</f>
        <v/>
      </c>
      <c r="CJ24">
        <f>IF($CE24=5,999999999,AA24)</f>
        <v/>
      </c>
      <c r="CK24">
        <f>IF($CE24=6,999999999,AB24)</f>
        <v/>
      </c>
      <c r="CL24">
        <f>IF($CE24=7,999999999,AC24)</f>
        <v/>
      </c>
      <c r="CM24">
        <f>IF($CE24=8,999999999,AD24)</f>
        <v/>
      </c>
      <c r="CN24">
        <f>IF($CE24=9,999999999,AE24)</f>
        <v/>
      </c>
      <c r="CO24">
        <f>IF($CE24=10,999999999,AF24)</f>
        <v/>
      </c>
      <c r="CP24">
        <f>IF($CE24=11,999999999,AG24)</f>
        <v/>
      </c>
      <c r="CQ24">
        <f>IF($CE24=12,999999999,AH24)</f>
        <v/>
      </c>
      <c r="CR24">
        <f>IF($CE24=13,999999999,AI24)</f>
        <v/>
      </c>
      <c r="CS24">
        <f>IF($CE24=14,999999999,AJ24)</f>
        <v/>
      </c>
      <c r="CT24">
        <f>IF($CE24=15,999999999,AK24)</f>
        <v/>
      </c>
      <c r="CU24">
        <f>IF($CE24=16,999999999,AL24)</f>
        <v/>
      </c>
      <c r="CV24">
        <f>IF($CE24=17,999999999,AM24)</f>
        <v/>
      </c>
      <c r="CW24">
        <f>IF($CE24=18,999999999,AN24)</f>
        <v/>
      </c>
      <c r="CX24">
        <f>IF($CE24=19,999999999,AO24)</f>
        <v/>
      </c>
      <c r="CY24">
        <f>IF($CE24=20,999999999,AP24)</f>
        <v/>
      </c>
      <c r="CZ24">
        <f>COUNTIF(W24:AP24,"&lt;999999999")</f>
        <v/>
      </c>
      <c r="DA24">
        <f>COUNTIF(BK24:CD24,"&lt;999999")</f>
        <v/>
      </c>
      <c r="DB24">
        <f>$CZ24-IF($CE24&gt;0,1,0)</f>
        <v/>
      </c>
      <c r="DC24">
        <f>IF(OR($B24=0,C24=""),0,DC23+1)</f>
        <v/>
      </c>
      <c r="DD24">
        <f>IF(OR($B24=0,D24=""),0,DD23+1)</f>
        <v/>
      </c>
      <c r="DE24">
        <f>IF(OR($B24=0,E24=""),0,DE23+1)</f>
        <v/>
      </c>
      <c r="DF24">
        <f>IF(OR($B24=0,F24=""),0,DF23+1)</f>
        <v/>
      </c>
      <c r="DG24">
        <f>IF(OR($B24=0,G24=""),0,DG23+1)</f>
        <v/>
      </c>
      <c r="DH24">
        <f>IF(OR($B24=0,H24=""),0,DH23+1)</f>
        <v/>
      </c>
      <c r="DI24">
        <f>IF(OR($B24=0,I24=""),0,DI23+1)</f>
        <v/>
      </c>
      <c r="DJ24">
        <f>IF(OR($B24=0,J24=""),0,DJ23+1)</f>
        <v/>
      </c>
      <c r="DK24">
        <f>IF(OR($B24=0,K24=""),0,DK23+1)</f>
        <v/>
      </c>
      <c r="DL24">
        <f>IF(OR($B24=0,L24=""),0,DL23+1)</f>
        <v/>
      </c>
      <c r="DM24">
        <f>IF(OR($B24=0,M24=""),0,DM23+1)</f>
        <v/>
      </c>
      <c r="DN24">
        <f>IF(OR($B24=0,N24=""),0,DN23+1)</f>
        <v/>
      </c>
      <c r="DO24">
        <f>IF(OR($B24=0,O24=""),0,DO23+1)</f>
        <v/>
      </c>
      <c r="DP24">
        <f>IF(OR($B24=0,P24=""),0,DP23+1)</f>
        <v/>
      </c>
      <c r="DQ24">
        <f>IF(OR($B24=0,Q24=""),0,DQ23+1)</f>
        <v/>
      </c>
      <c r="DR24">
        <f>IF(OR($B24=0,R24=""),0,DR23+1)</f>
        <v/>
      </c>
      <c r="DS24">
        <f>IF(OR($B24=0,S24=""),0,DS23+1)</f>
        <v/>
      </c>
      <c r="DT24">
        <f>IF(OR($B24=0,T24=""),0,DT23+1)</f>
        <v/>
      </c>
      <c r="DU24">
        <f>IF(OR($B24=0,U24=""),0,DU23+1)</f>
        <v/>
      </c>
      <c r="DV24">
        <f>IF(OR($B24=0,V24=""),0,DV23+1)</f>
        <v/>
      </c>
      <c r="DW24">
        <f>'ตารางเวร'!X$7</f>
        <v/>
      </c>
      <c r="DX24">
        <f>IF($B24=0,0,IF(WEEKDAY('ตารางเวร'!X$6,2)=IFERROR(MATCH('ตารางเวร'!$AM$11,'ตารางเวร'!$AO$10:$AO$17,0),0),1,0))</f>
        <v/>
      </c>
    </row>
    <row r="25">
      <c r="A25" t="n">
        <v>23</v>
      </c>
      <c r="B25">
        <f>IF(23&gt;DAY(EOMONTH(DATE('ตารางเวร'!$B$3-543,'ตารางเวร'!$B$2,1),0)),0,1)</f>
        <v/>
      </c>
      <c r="C25">
        <f>IF($B25=0,"",IFERROR(TRIM(INDEX('ตารางเวร'!$C$10:$AG$29,1,$A25)),""))</f>
        <v/>
      </c>
      <c r="D25">
        <f>IF($B25=0,"",IFERROR(TRIM(INDEX('ตารางเวร'!$C$10:$AG$29,2,$A25)),""))</f>
        <v/>
      </c>
      <c r="E25">
        <f>IF($B25=0,"",IFERROR(TRIM(INDEX('ตารางเวร'!$C$10:$AG$29,3,$A25)),""))</f>
        <v/>
      </c>
      <c r="F25">
        <f>IF($B25=0,"",IFERROR(TRIM(INDEX('ตารางเวร'!$C$10:$AG$29,4,$A25)),""))</f>
        <v/>
      </c>
      <c r="G25">
        <f>IF($B25=0,"",IFERROR(TRIM(INDEX('ตารางเวร'!$C$10:$AG$29,5,$A25)),""))</f>
        <v/>
      </c>
      <c r="H25">
        <f>IF($B25=0,"",IFERROR(TRIM(INDEX('ตารางเวร'!$C$10:$AG$29,6,$A25)),""))</f>
        <v/>
      </c>
      <c r="I25">
        <f>IF($B25=0,"",IFERROR(TRIM(INDEX('ตารางเวร'!$C$10:$AG$29,7,$A25)),""))</f>
        <v/>
      </c>
      <c r="J25">
        <f>IF($B25=0,"",IFERROR(TRIM(INDEX('ตารางเวร'!$C$10:$AG$29,8,$A25)),""))</f>
        <v/>
      </c>
      <c r="K25">
        <f>IF($B25=0,"",IFERROR(TRIM(INDEX('ตารางเวร'!$C$10:$AG$29,9,$A25)),""))</f>
        <v/>
      </c>
      <c r="L25">
        <f>IF($B25=0,"",IFERROR(TRIM(INDEX('ตารางเวร'!$C$10:$AG$29,10,$A25)),""))</f>
        <v/>
      </c>
      <c r="M25">
        <f>IF($B25=0,"",IFERROR(TRIM(INDEX('ตารางเวร'!$C$10:$AG$29,11,$A25)),""))</f>
        <v/>
      </c>
      <c r="N25">
        <f>IF($B25=0,"",IFERROR(TRIM(INDEX('ตารางเวร'!$C$10:$AG$29,12,$A25)),""))</f>
        <v/>
      </c>
      <c r="O25">
        <f>IF($B25=0,"",IFERROR(TRIM(INDEX('ตารางเวร'!$C$10:$AG$29,13,$A25)),""))</f>
        <v/>
      </c>
      <c r="P25">
        <f>IF($B25=0,"",IFERROR(TRIM(INDEX('ตารางเวร'!$C$10:$AG$29,14,$A25)),""))</f>
        <v/>
      </c>
      <c r="Q25">
        <f>IF($B25=0,"",IFERROR(TRIM(INDEX('ตารางเวร'!$C$10:$AG$29,15,$A25)),""))</f>
        <v/>
      </c>
      <c r="R25">
        <f>IF($B25=0,"",IFERROR(TRIM(INDEX('ตารางเวร'!$C$10:$AG$29,16,$A25)),""))</f>
        <v/>
      </c>
      <c r="S25">
        <f>IF($B25=0,"",IFERROR(TRIM(INDEX('ตารางเวร'!$C$10:$AG$29,17,$A25)),""))</f>
        <v/>
      </c>
      <c r="T25">
        <f>IF($B25=0,"",IFERROR(TRIM(INDEX('ตารางเวร'!$C$10:$AG$29,18,$A25)),""))</f>
        <v/>
      </c>
      <c r="U25">
        <f>IF($B25=0,"",IFERROR(TRIM(INDEX('ตารางเวร'!$C$10:$AG$29,19,$A25)),""))</f>
        <v/>
      </c>
      <c r="V25">
        <f>IF($B25=0,"",IFERROR(TRIM(INDEX('ตารางเวร'!$C$10:$AG$29,20,$A25)),""))</f>
        <v/>
      </c>
      <c r="W25">
        <f>IF(AND($B25=1,C25&lt;&gt;"",ISNUMBER(FIND("*",C25))),MOD((MOD('ตารางเวร'!$B$4,9973)*7919+$A25*40289)*(1*104729+7919),99991)*100+1,999999999)</f>
        <v/>
      </c>
      <c r="X25">
        <f>IF(AND($B25=1,D25&lt;&gt;"",ISNUMBER(FIND("*",D25))),MOD((MOD('ตารางเวร'!$B$4,9973)*7919+$A25*40289)*(2*104729+7919),99991)*100+2,999999999)</f>
        <v/>
      </c>
      <c r="Y25">
        <f>IF(AND($B25=1,E25&lt;&gt;"",ISNUMBER(FIND("*",E25))),MOD((MOD('ตารางเวร'!$B$4,9973)*7919+$A25*40289)*(3*104729+7919),99991)*100+3,999999999)</f>
        <v/>
      </c>
      <c r="Z25">
        <f>IF(AND($B25=1,F25&lt;&gt;"",ISNUMBER(FIND("*",F25))),MOD((MOD('ตารางเวร'!$B$4,9973)*7919+$A25*40289)*(4*104729+7919),99991)*100+4,999999999)</f>
        <v/>
      </c>
      <c r="AA25">
        <f>IF(AND($B25=1,G25&lt;&gt;"",ISNUMBER(FIND("*",G25))),MOD((MOD('ตารางเวร'!$B$4,9973)*7919+$A25*40289)*(5*104729+7919),99991)*100+5,999999999)</f>
        <v/>
      </c>
      <c r="AB25">
        <f>IF(AND($B25=1,H25&lt;&gt;"",ISNUMBER(FIND("*",H25))),MOD((MOD('ตารางเวร'!$B$4,9973)*7919+$A25*40289)*(6*104729+7919),99991)*100+6,999999999)</f>
        <v/>
      </c>
      <c r="AC25">
        <f>IF(AND($B25=1,I25&lt;&gt;"",ISNUMBER(FIND("*",I25))),MOD((MOD('ตารางเวร'!$B$4,9973)*7919+$A25*40289)*(7*104729+7919),99991)*100+7,999999999)</f>
        <v/>
      </c>
      <c r="AD25">
        <f>IF(AND($B25=1,J25&lt;&gt;"",ISNUMBER(FIND("*",J25))),MOD((MOD('ตารางเวร'!$B$4,9973)*7919+$A25*40289)*(8*104729+7919),99991)*100+8,999999999)</f>
        <v/>
      </c>
      <c r="AE25">
        <f>IF(AND($B25=1,K25&lt;&gt;"",ISNUMBER(FIND("*",K25))),MOD((MOD('ตารางเวร'!$B$4,9973)*7919+$A25*40289)*(9*104729+7919),99991)*100+9,999999999)</f>
        <v/>
      </c>
      <c r="AF25">
        <f>IF(AND($B25=1,L25&lt;&gt;"",ISNUMBER(FIND("*",L25))),MOD((MOD('ตารางเวร'!$B$4,9973)*7919+$A25*40289)*(10*104729+7919),99991)*100+10,999999999)</f>
        <v/>
      </c>
      <c r="AG25">
        <f>IF(AND($B25=1,M25&lt;&gt;"",ISNUMBER(FIND("*",M25))),MOD((MOD('ตารางเวร'!$B$4,9973)*7919+$A25*40289)*(11*104729+7919),99991)*100+11,999999999)</f>
        <v/>
      </c>
      <c r="AH25">
        <f>IF(AND($B25=1,N25&lt;&gt;"",ISNUMBER(FIND("*",N25))),MOD((MOD('ตารางเวร'!$B$4,9973)*7919+$A25*40289)*(12*104729+7919),99991)*100+12,999999999)</f>
        <v/>
      </c>
      <c r="AI25">
        <f>IF(AND($B25=1,O25&lt;&gt;"",ISNUMBER(FIND("*",O25))),MOD((MOD('ตารางเวร'!$B$4,9973)*7919+$A25*40289)*(13*104729+7919),99991)*100+13,999999999)</f>
        <v/>
      </c>
      <c r="AJ25">
        <f>IF(AND($B25=1,P25&lt;&gt;"",ISNUMBER(FIND("*",P25))),MOD((MOD('ตารางเวร'!$B$4,9973)*7919+$A25*40289)*(14*104729+7919),99991)*100+14,999999999)</f>
        <v/>
      </c>
      <c r="AK25">
        <f>IF(AND($B25=1,Q25&lt;&gt;"",ISNUMBER(FIND("*",Q25))),MOD((MOD('ตารางเวร'!$B$4,9973)*7919+$A25*40289)*(15*104729+7919),99991)*100+15,999999999)</f>
        <v/>
      </c>
      <c r="AL25">
        <f>IF(AND($B25=1,R25&lt;&gt;"",ISNUMBER(FIND("*",R25))),MOD((MOD('ตารางเวร'!$B$4,9973)*7919+$A25*40289)*(16*104729+7919),99991)*100+16,999999999)</f>
        <v/>
      </c>
      <c r="AM25">
        <f>IF(AND($B25=1,S25&lt;&gt;"",ISNUMBER(FIND("*",S25))),MOD((MOD('ตารางเวร'!$B$4,9973)*7919+$A25*40289)*(17*104729+7919),99991)*100+17,999999999)</f>
        <v/>
      </c>
      <c r="AN25">
        <f>IF(AND($B25=1,T25&lt;&gt;"",ISNUMBER(FIND("*",T25))),MOD((MOD('ตารางเวร'!$B$4,9973)*7919+$A25*40289)*(18*104729+7919),99991)*100+18,999999999)</f>
        <v/>
      </c>
      <c r="AO25">
        <f>IF(AND($B25=1,U25&lt;&gt;"",ISNUMBER(FIND("*",U25))),MOD((MOD('ตารางเวร'!$B$4,9973)*7919+$A25*40289)*(19*104729+7919),99991)*100+19,999999999)</f>
        <v/>
      </c>
      <c r="AP25">
        <f>IF(AND($B25=1,V25&lt;&gt;"",ISNUMBER(FIND("*",V25))),MOD((MOD('ตารางเวร'!$B$4,9973)*7919+$A25*40289)*(20*104729+7919),99991)*100+20,999999999)</f>
        <v/>
      </c>
      <c r="AQ25">
        <f>IF(TRIM('ตารางเวร'!$B$10)&lt;&gt;"",999999999,W25)</f>
        <v/>
      </c>
      <c r="AR25">
        <f>IF(TRIM('ตารางเวร'!$B$11)&lt;&gt;"",999999999,X25)</f>
        <v/>
      </c>
      <c r="AS25">
        <f>IF(TRIM('ตารางเวร'!$B$12)&lt;&gt;"",999999999,Y25)</f>
        <v/>
      </c>
      <c r="AT25">
        <f>IF(TRIM('ตารางเวร'!$B$13)&lt;&gt;"",999999999,Z25)</f>
        <v/>
      </c>
      <c r="AU25">
        <f>IF(TRIM('ตารางเวร'!$B$14)&lt;&gt;"",999999999,AA25)</f>
        <v/>
      </c>
      <c r="AV25">
        <f>IF(TRIM('ตารางเวร'!$B$15)&lt;&gt;"",999999999,AB25)</f>
        <v/>
      </c>
      <c r="AW25">
        <f>IF(TRIM('ตารางเวร'!$B$16)&lt;&gt;"",999999999,AC25)</f>
        <v/>
      </c>
      <c r="AX25">
        <f>IF(TRIM('ตารางเวร'!$B$17)&lt;&gt;"",999999999,AD25)</f>
        <v/>
      </c>
      <c r="AY25">
        <f>IF(TRIM('ตารางเวร'!$B$18)&lt;&gt;"",999999999,AE25)</f>
        <v/>
      </c>
      <c r="AZ25">
        <f>IF(TRIM('ตารางเวร'!$B$19)&lt;&gt;"",999999999,AF25)</f>
        <v/>
      </c>
      <c r="BA25">
        <f>IF(TRIM('ตารางเวร'!$B$20)&lt;&gt;"",999999999,AG25)</f>
        <v/>
      </c>
      <c r="BB25">
        <f>IF(TRIM('ตารางเวร'!$B$21)&lt;&gt;"",999999999,AH25)</f>
        <v/>
      </c>
      <c r="BC25">
        <f>IF(TRIM('ตารางเวร'!$B$22)&lt;&gt;"",999999999,AI25)</f>
        <v/>
      </c>
      <c r="BD25">
        <f>IF(TRIM('ตารางเวร'!$B$23)&lt;&gt;"",999999999,AJ25)</f>
        <v/>
      </c>
      <c r="BE25">
        <f>IF(TRIM('ตารางเวร'!$B$24)&lt;&gt;"",999999999,AK25)</f>
        <v/>
      </c>
      <c r="BF25">
        <f>IF(TRIM('ตารางเวร'!$B$25)&lt;&gt;"",999999999,AL25)</f>
        <v/>
      </c>
      <c r="BG25">
        <f>IF(TRIM('ตารางเวร'!$B$26)&lt;&gt;"",999999999,AM25)</f>
        <v/>
      </c>
      <c r="BH25">
        <f>IF(TRIM('ตารางเวร'!$B$27)&lt;&gt;"",999999999,AN25)</f>
        <v/>
      </c>
      <c r="BI25">
        <f>IF(TRIM('ตารางเวร'!$B$28)&lt;&gt;"",999999999,AO25)</f>
        <v/>
      </c>
      <c r="BJ25">
        <f>IF(TRIM('ตารางเวร'!$B$29)&lt;&gt;"",999999999,AP25)</f>
        <v/>
      </c>
      <c r="BK25">
        <f>IF(AND($B25=1,C25&lt;&gt;"",NOT(ISNUMBER(FIND("*",C25)))),1,999999)</f>
        <v/>
      </c>
      <c r="BL25">
        <f>IF(AND($B25=1,D25&lt;&gt;"",NOT(ISNUMBER(FIND("*",D25)))),2,999999)</f>
        <v/>
      </c>
      <c r="BM25">
        <f>IF(AND($B25=1,E25&lt;&gt;"",NOT(ISNUMBER(FIND("*",E25)))),3,999999)</f>
        <v/>
      </c>
      <c r="BN25">
        <f>IF(AND($B25=1,F25&lt;&gt;"",NOT(ISNUMBER(FIND("*",F25)))),4,999999)</f>
        <v/>
      </c>
      <c r="BO25">
        <f>IF(AND($B25=1,G25&lt;&gt;"",NOT(ISNUMBER(FIND("*",G25)))),5,999999)</f>
        <v/>
      </c>
      <c r="BP25">
        <f>IF(AND($B25=1,H25&lt;&gt;"",NOT(ISNUMBER(FIND("*",H25)))),6,999999)</f>
        <v/>
      </c>
      <c r="BQ25">
        <f>IF(AND($B25=1,I25&lt;&gt;"",NOT(ISNUMBER(FIND("*",I25)))),7,999999)</f>
        <v/>
      </c>
      <c r="BR25">
        <f>IF(AND($B25=1,J25&lt;&gt;"",NOT(ISNUMBER(FIND("*",J25)))),8,999999)</f>
        <v/>
      </c>
      <c r="BS25">
        <f>IF(AND($B25=1,K25&lt;&gt;"",NOT(ISNUMBER(FIND("*",K25)))),9,999999)</f>
        <v/>
      </c>
      <c r="BT25">
        <f>IF(AND($B25=1,L25&lt;&gt;"",NOT(ISNUMBER(FIND("*",L25)))),10,999999)</f>
        <v/>
      </c>
      <c r="BU25">
        <f>IF(AND($B25=1,M25&lt;&gt;"",NOT(ISNUMBER(FIND("*",M25)))),11,999999)</f>
        <v/>
      </c>
      <c r="BV25">
        <f>IF(AND($B25=1,N25&lt;&gt;"",NOT(ISNUMBER(FIND("*",N25)))),12,999999)</f>
        <v/>
      </c>
      <c r="BW25">
        <f>IF(AND($B25=1,O25&lt;&gt;"",NOT(ISNUMBER(FIND("*",O25)))),13,999999)</f>
        <v/>
      </c>
      <c r="BX25">
        <f>IF(AND($B25=1,P25&lt;&gt;"",NOT(ISNUMBER(FIND("*",P25)))),14,999999)</f>
        <v/>
      </c>
      <c r="BY25">
        <f>IF(AND($B25=1,Q25&lt;&gt;"",NOT(ISNUMBER(FIND("*",Q25)))),15,999999)</f>
        <v/>
      </c>
      <c r="BZ25">
        <f>IF(AND($B25=1,R25&lt;&gt;"",NOT(ISNUMBER(FIND("*",R25)))),16,999999)</f>
        <v/>
      </c>
      <c r="CA25">
        <f>IF(AND($B25=1,S25&lt;&gt;"",NOT(ISNUMBER(FIND("*",S25)))),17,999999)</f>
        <v/>
      </c>
      <c r="CB25">
        <f>IF(AND($B25=1,T25&lt;&gt;"",NOT(ISNUMBER(FIND("*",T25)))),18,999999)</f>
        <v/>
      </c>
      <c r="CC25">
        <f>IF(AND($B25=1,U25&lt;&gt;"",NOT(ISNUMBER(FIND("*",U25)))),19,999999)</f>
        <v/>
      </c>
      <c r="CD25">
        <f>IF(AND($B25=1,V25&lt;&gt;"",NOT(ISNUMBER(FIND("*",V25)))),20,999999)</f>
        <v/>
      </c>
      <c r="CE25">
        <f>IF(MIN(AQ25:BJ25)&gt;=999999999,0,MATCH(MIN(AQ25:BJ25),AQ25:BJ25,0))</f>
        <v/>
      </c>
      <c r="CF25">
        <f>IF($CE25=1,999999999,W25)</f>
        <v/>
      </c>
      <c r="CG25">
        <f>IF($CE25=2,999999999,X25)</f>
        <v/>
      </c>
      <c r="CH25">
        <f>IF($CE25=3,999999999,Y25)</f>
        <v/>
      </c>
      <c r="CI25">
        <f>IF($CE25=4,999999999,Z25)</f>
        <v/>
      </c>
      <c r="CJ25">
        <f>IF($CE25=5,999999999,AA25)</f>
        <v/>
      </c>
      <c r="CK25">
        <f>IF($CE25=6,999999999,AB25)</f>
        <v/>
      </c>
      <c r="CL25">
        <f>IF($CE25=7,999999999,AC25)</f>
        <v/>
      </c>
      <c r="CM25">
        <f>IF($CE25=8,999999999,AD25)</f>
        <v/>
      </c>
      <c r="CN25">
        <f>IF($CE25=9,999999999,AE25)</f>
        <v/>
      </c>
      <c r="CO25">
        <f>IF($CE25=10,999999999,AF25)</f>
        <v/>
      </c>
      <c r="CP25">
        <f>IF($CE25=11,999999999,AG25)</f>
        <v/>
      </c>
      <c r="CQ25">
        <f>IF($CE25=12,999999999,AH25)</f>
        <v/>
      </c>
      <c r="CR25">
        <f>IF($CE25=13,999999999,AI25)</f>
        <v/>
      </c>
      <c r="CS25">
        <f>IF($CE25=14,999999999,AJ25)</f>
        <v/>
      </c>
      <c r="CT25">
        <f>IF($CE25=15,999999999,AK25)</f>
        <v/>
      </c>
      <c r="CU25">
        <f>IF($CE25=16,999999999,AL25)</f>
        <v/>
      </c>
      <c r="CV25">
        <f>IF($CE25=17,999999999,AM25)</f>
        <v/>
      </c>
      <c r="CW25">
        <f>IF($CE25=18,999999999,AN25)</f>
        <v/>
      </c>
      <c r="CX25">
        <f>IF($CE25=19,999999999,AO25)</f>
        <v/>
      </c>
      <c r="CY25">
        <f>IF($CE25=20,999999999,AP25)</f>
        <v/>
      </c>
      <c r="CZ25">
        <f>COUNTIF(W25:AP25,"&lt;999999999")</f>
        <v/>
      </c>
      <c r="DA25">
        <f>COUNTIF(BK25:CD25,"&lt;999999")</f>
        <v/>
      </c>
      <c r="DB25">
        <f>$CZ25-IF($CE25&gt;0,1,0)</f>
        <v/>
      </c>
      <c r="DC25">
        <f>IF(OR($B25=0,C25=""),0,DC24+1)</f>
        <v/>
      </c>
      <c r="DD25">
        <f>IF(OR($B25=0,D25=""),0,DD24+1)</f>
        <v/>
      </c>
      <c r="DE25">
        <f>IF(OR($B25=0,E25=""),0,DE24+1)</f>
        <v/>
      </c>
      <c r="DF25">
        <f>IF(OR($B25=0,F25=""),0,DF24+1)</f>
        <v/>
      </c>
      <c r="DG25">
        <f>IF(OR($B25=0,G25=""),0,DG24+1)</f>
        <v/>
      </c>
      <c r="DH25">
        <f>IF(OR($B25=0,H25=""),0,DH24+1)</f>
        <v/>
      </c>
      <c r="DI25">
        <f>IF(OR($B25=0,I25=""),0,DI24+1)</f>
        <v/>
      </c>
      <c r="DJ25">
        <f>IF(OR($B25=0,J25=""),0,DJ24+1)</f>
        <v/>
      </c>
      <c r="DK25">
        <f>IF(OR($B25=0,K25=""),0,DK24+1)</f>
        <v/>
      </c>
      <c r="DL25">
        <f>IF(OR($B25=0,L25=""),0,DL24+1)</f>
        <v/>
      </c>
      <c r="DM25">
        <f>IF(OR($B25=0,M25=""),0,DM24+1)</f>
        <v/>
      </c>
      <c r="DN25">
        <f>IF(OR($B25=0,N25=""),0,DN24+1)</f>
        <v/>
      </c>
      <c r="DO25">
        <f>IF(OR($B25=0,O25=""),0,DO24+1)</f>
        <v/>
      </c>
      <c r="DP25">
        <f>IF(OR($B25=0,P25=""),0,DP24+1)</f>
        <v/>
      </c>
      <c r="DQ25">
        <f>IF(OR($B25=0,Q25=""),0,DQ24+1)</f>
        <v/>
      </c>
      <c r="DR25">
        <f>IF(OR($B25=0,R25=""),0,DR24+1)</f>
        <v/>
      </c>
      <c r="DS25">
        <f>IF(OR($B25=0,S25=""),0,DS24+1)</f>
        <v/>
      </c>
      <c r="DT25">
        <f>IF(OR($B25=0,T25=""),0,DT24+1)</f>
        <v/>
      </c>
      <c r="DU25">
        <f>IF(OR($B25=0,U25=""),0,DU24+1)</f>
        <v/>
      </c>
      <c r="DV25">
        <f>IF(OR($B25=0,V25=""),0,DV24+1)</f>
        <v/>
      </c>
      <c r="DW25">
        <f>'ตารางเวร'!Y$7</f>
        <v/>
      </c>
      <c r="DX25">
        <f>IF($B25=0,0,IF(WEEKDAY('ตารางเวร'!Y$6,2)=IFERROR(MATCH('ตารางเวร'!$AM$11,'ตารางเวร'!$AO$10:$AO$17,0),0),1,0))</f>
        <v/>
      </c>
    </row>
    <row r="26">
      <c r="A26" t="n">
        <v>24</v>
      </c>
      <c r="B26">
        <f>IF(24&gt;DAY(EOMONTH(DATE('ตารางเวร'!$B$3-543,'ตารางเวร'!$B$2,1),0)),0,1)</f>
        <v/>
      </c>
      <c r="C26">
        <f>IF($B26=0,"",IFERROR(TRIM(INDEX('ตารางเวร'!$C$10:$AG$29,1,$A26)),""))</f>
        <v/>
      </c>
      <c r="D26">
        <f>IF($B26=0,"",IFERROR(TRIM(INDEX('ตารางเวร'!$C$10:$AG$29,2,$A26)),""))</f>
        <v/>
      </c>
      <c r="E26">
        <f>IF($B26=0,"",IFERROR(TRIM(INDEX('ตารางเวร'!$C$10:$AG$29,3,$A26)),""))</f>
        <v/>
      </c>
      <c r="F26">
        <f>IF($B26=0,"",IFERROR(TRIM(INDEX('ตารางเวร'!$C$10:$AG$29,4,$A26)),""))</f>
        <v/>
      </c>
      <c r="G26">
        <f>IF($B26=0,"",IFERROR(TRIM(INDEX('ตารางเวร'!$C$10:$AG$29,5,$A26)),""))</f>
        <v/>
      </c>
      <c r="H26">
        <f>IF($B26=0,"",IFERROR(TRIM(INDEX('ตารางเวร'!$C$10:$AG$29,6,$A26)),""))</f>
        <v/>
      </c>
      <c r="I26">
        <f>IF($B26=0,"",IFERROR(TRIM(INDEX('ตารางเวร'!$C$10:$AG$29,7,$A26)),""))</f>
        <v/>
      </c>
      <c r="J26">
        <f>IF($B26=0,"",IFERROR(TRIM(INDEX('ตารางเวร'!$C$10:$AG$29,8,$A26)),""))</f>
        <v/>
      </c>
      <c r="K26">
        <f>IF($B26=0,"",IFERROR(TRIM(INDEX('ตารางเวร'!$C$10:$AG$29,9,$A26)),""))</f>
        <v/>
      </c>
      <c r="L26">
        <f>IF($B26=0,"",IFERROR(TRIM(INDEX('ตารางเวร'!$C$10:$AG$29,10,$A26)),""))</f>
        <v/>
      </c>
      <c r="M26">
        <f>IF($B26=0,"",IFERROR(TRIM(INDEX('ตารางเวร'!$C$10:$AG$29,11,$A26)),""))</f>
        <v/>
      </c>
      <c r="N26">
        <f>IF($B26=0,"",IFERROR(TRIM(INDEX('ตารางเวร'!$C$10:$AG$29,12,$A26)),""))</f>
        <v/>
      </c>
      <c r="O26">
        <f>IF($B26=0,"",IFERROR(TRIM(INDEX('ตารางเวร'!$C$10:$AG$29,13,$A26)),""))</f>
        <v/>
      </c>
      <c r="P26">
        <f>IF($B26=0,"",IFERROR(TRIM(INDEX('ตารางเวร'!$C$10:$AG$29,14,$A26)),""))</f>
        <v/>
      </c>
      <c r="Q26">
        <f>IF($B26=0,"",IFERROR(TRIM(INDEX('ตารางเวร'!$C$10:$AG$29,15,$A26)),""))</f>
        <v/>
      </c>
      <c r="R26">
        <f>IF($B26=0,"",IFERROR(TRIM(INDEX('ตารางเวร'!$C$10:$AG$29,16,$A26)),""))</f>
        <v/>
      </c>
      <c r="S26">
        <f>IF($B26=0,"",IFERROR(TRIM(INDEX('ตารางเวร'!$C$10:$AG$29,17,$A26)),""))</f>
        <v/>
      </c>
      <c r="T26">
        <f>IF($B26=0,"",IFERROR(TRIM(INDEX('ตารางเวร'!$C$10:$AG$29,18,$A26)),""))</f>
        <v/>
      </c>
      <c r="U26">
        <f>IF($B26=0,"",IFERROR(TRIM(INDEX('ตารางเวร'!$C$10:$AG$29,19,$A26)),""))</f>
        <v/>
      </c>
      <c r="V26">
        <f>IF($B26=0,"",IFERROR(TRIM(INDEX('ตารางเวร'!$C$10:$AG$29,20,$A26)),""))</f>
        <v/>
      </c>
      <c r="W26">
        <f>IF(AND($B26=1,C26&lt;&gt;"",ISNUMBER(FIND("*",C26))),MOD((MOD('ตารางเวร'!$B$4,9973)*7919+$A26*40289)*(1*104729+7919),99991)*100+1,999999999)</f>
        <v/>
      </c>
      <c r="X26">
        <f>IF(AND($B26=1,D26&lt;&gt;"",ISNUMBER(FIND("*",D26))),MOD((MOD('ตารางเวร'!$B$4,9973)*7919+$A26*40289)*(2*104729+7919),99991)*100+2,999999999)</f>
        <v/>
      </c>
      <c r="Y26">
        <f>IF(AND($B26=1,E26&lt;&gt;"",ISNUMBER(FIND("*",E26))),MOD((MOD('ตารางเวร'!$B$4,9973)*7919+$A26*40289)*(3*104729+7919),99991)*100+3,999999999)</f>
        <v/>
      </c>
      <c r="Z26">
        <f>IF(AND($B26=1,F26&lt;&gt;"",ISNUMBER(FIND("*",F26))),MOD((MOD('ตารางเวร'!$B$4,9973)*7919+$A26*40289)*(4*104729+7919),99991)*100+4,999999999)</f>
        <v/>
      </c>
      <c r="AA26">
        <f>IF(AND($B26=1,G26&lt;&gt;"",ISNUMBER(FIND("*",G26))),MOD((MOD('ตารางเวร'!$B$4,9973)*7919+$A26*40289)*(5*104729+7919),99991)*100+5,999999999)</f>
        <v/>
      </c>
      <c r="AB26">
        <f>IF(AND($B26=1,H26&lt;&gt;"",ISNUMBER(FIND("*",H26))),MOD((MOD('ตารางเวร'!$B$4,9973)*7919+$A26*40289)*(6*104729+7919),99991)*100+6,999999999)</f>
        <v/>
      </c>
      <c r="AC26">
        <f>IF(AND($B26=1,I26&lt;&gt;"",ISNUMBER(FIND("*",I26))),MOD((MOD('ตารางเวร'!$B$4,9973)*7919+$A26*40289)*(7*104729+7919),99991)*100+7,999999999)</f>
        <v/>
      </c>
      <c r="AD26">
        <f>IF(AND($B26=1,J26&lt;&gt;"",ISNUMBER(FIND("*",J26))),MOD((MOD('ตารางเวร'!$B$4,9973)*7919+$A26*40289)*(8*104729+7919),99991)*100+8,999999999)</f>
        <v/>
      </c>
      <c r="AE26">
        <f>IF(AND($B26=1,K26&lt;&gt;"",ISNUMBER(FIND("*",K26))),MOD((MOD('ตารางเวร'!$B$4,9973)*7919+$A26*40289)*(9*104729+7919),99991)*100+9,999999999)</f>
        <v/>
      </c>
      <c r="AF26">
        <f>IF(AND($B26=1,L26&lt;&gt;"",ISNUMBER(FIND("*",L26))),MOD((MOD('ตารางเวร'!$B$4,9973)*7919+$A26*40289)*(10*104729+7919),99991)*100+10,999999999)</f>
        <v/>
      </c>
      <c r="AG26">
        <f>IF(AND($B26=1,M26&lt;&gt;"",ISNUMBER(FIND("*",M26))),MOD((MOD('ตารางเวร'!$B$4,9973)*7919+$A26*40289)*(11*104729+7919),99991)*100+11,999999999)</f>
        <v/>
      </c>
      <c r="AH26">
        <f>IF(AND($B26=1,N26&lt;&gt;"",ISNUMBER(FIND("*",N26))),MOD((MOD('ตารางเวร'!$B$4,9973)*7919+$A26*40289)*(12*104729+7919),99991)*100+12,999999999)</f>
        <v/>
      </c>
      <c r="AI26">
        <f>IF(AND($B26=1,O26&lt;&gt;"",ISNUMBER(FIND("*",O26))),MOD((MOD('ตารางเวร'!$B$4,9973)*7919+$A26*40289)*(13*104729+7919),99991)*100+13,999999999)</f>
        <v/>
      </c>
      <c r="AJ26">
        <f>IF(AND($B26=1,P26&lt;&gt;"",ISNUMBER(FIND("*",P26))),MOD((MOD('ตารางเวร'!$B$4,9973)*7919+$A26*40289)*(14*104729+7919),99991)*100+14,999999999)</f>
        <v/>
      </c>
      <c r="AK26">
        <f>IF(AND($B26=1,Q26&lt;&gt;"",ISNUMBER(FIND("*",Q26))),MOD((MOD('ตารางเวร'!$B$4,9973)*7919+$A26*40289)*(15*104729+7919),99991)*100+15,999999999)</f>
        <v/>
      </c>
      <c r="AL26">
        <f>IF(AND($B26=1,R26&lt;&gt;"",ISNUMBER(FIND("*",R26))),MOD((MOD('ตารางเวร'!$B$4,9973)*7919+$A26*40289)*(16*104729+7919),99991)*100+16,999999999)</f>
        <v/>
      </c>
      <c r="AM26">
        <f>IF(AND($B26=1,S26&lt;&gt;"",ISNUMBER(FIND("*",S26))),MOD((MOD('ตารางเวร'!$B$4,9973)*7919+$A26*40289)*(17*104729+7919),99991)*100+17,999999999)</f>
        <v/>
      </c>
      <c r="AN26">
        <f>IF(AND($B26=1,T26&lt;&gt;"",ISNUMBER(FIND("*",T26))),MOD((MOD('ตารางเวร'!$B$4,9973)*7919+$A26*40289)*(18*104729+7919),99991)*100+18,999999999)</f>
        <v/>
      </c>
      <c r="AO26">
        <f>IF(AND($B26=1,U26&lt;&gt;"",ISNUMBER(FIND("*",U26))),MOD((MOD('ตารางเวร'!$B$4,9973)*7919+$A26*40289)*(19*104729+7919),99991)*100+19,999999999)</f>
        <v/>
      </c>
      <c r="AP26">
        <f>IF(AND($B26=1,V26&lt;&gt;"",ISNUMBER(FIND("*",V26))),MOD((MOD('ตารางเวร'!$B$4,9973)*7919+$A26*40289)*(20*104729+7919),99991)*100+20,999999999)</f>
        <v/>
      </c>
      <c r="AQ26">
        <f>IF(TRIM('ตารางเวร'!$B$10)&lt;&gt;"",999999999,W26)</f>
        <v/>
      </c>
      <c r="AR26">
        <f>IF(TRIM('ตารางเวร'!$B$11)&lt;&gt;"",999999999,X26)</f>
        <v/>
      </c>
      <c r="AS26">
        <f>IF(TRIM('ตารางเวร'!$B$12)&lt;&gt;"",999999999,Y26)</f>
        <v/>
      </c>
      <c r="AT26">
        <f>IF(TRIM('ตารางเวร'!$B$13)&lt;&gt;"",999999999,Z26)</f>
        <v/>
      </c>
      <c r="AU26">
        <f>IF(TRIM('ตารางเวร'!$B$14)&lt;&gt;"",999999999,AA26)</f>
        <v/>
      </c>
      <c r="AV26">
        <f>IF(TRIM('ตารางเวร'!$B$15)&lt;&gt;"",999999999,AB26)</f>
        <v/>
      </c>
      <c r="AW26">
        <f>IF(TRIM('ตารางเวร'!$B$16)&lt;&gt;"",999999999,AC26)</f>
        <v/>
      </c>
      <c r="AX26">
        <f>IF(TRIM('ตารางเวร'!$B$17)&lt;&gt;"",999999999,AD26)</f>
        <v/>
      </c>
      <c r="AY26">
        <f>IF(TRIM('ตารางเวร'!$B$18)&lt;&gt;"",999999999,AE26)</f>
        <v/>
      </c>
      <c r="AZ26">
        <f>IF(TRIM('ตารางเวร'!$B$19)&lt;&gt;"",999999999,AF26)</f>
        <v/>
      </c>
      <c r="BA26">
        <f>IF(TRIM('ตารางเวร'!$B$20)&lt;&gt;"",999999999,AG26)</f>
        <v/>
      </c>
      <c r="BB26">
        <f>IF(TRIM('ตารางเวร'!$B$21)&lt;&gt;"",999999999,AH26)</f>
        <v/>
      </c>
      <c r="BC26">
        <f>IF(TRIM('ตารางเวร'!$B$22)&lt;&gt;"",999999999,AI26)</f>
        <v/>
      </c>
      <c r="BD26">
        <f>IF(TRIM('ตารางเวร'!$B$23)&lt;&gt;"",999999999,AJ26)</f>
        <v/>
      </c>
      <c r="BE26">
        <f>IF(TRIM('ตารางเวร'!$B$24)&lt;&gt;"",999999999,AK26)</f>
        <v/>
      </c>
      <c r="BF26">
        <f>IF(TRIM('ตารางเวร'!$B$25)&lt;&gt;"",999999999,AL26)</f>
        <v/>
      </c>
      <c r="BG26">
        <f>IF(TRIM('ตารางเวร'!$B$26)&lt;&gt;"",999999999,AM26)</f>
        <v/>
      </c>
      <c r="BH26">
        <f>IF(TRIM('ตารางเวร'!$B$27)&lt;&gt;"",999999999,AN26)</f>
        <v/>
      </c>
      <c r="BI26">
        <f>IF(TRIM('ตารางเวร'!$B$28)&lt;&gt;"",999999999,AO26)</f>
        <v/>
      </c>
      <c r="BJ26">
        <f>IF(TRIM('ตารางเวร'!$B$29)&lt;&gt;"",999999999,AP26)</f>
        <v/>
      </c>
      <c r="BK26">
        <f>IF(AND($B26=1,C26&lt;&gt;"",NOT(ISNUMBER(FIND("*",C26)))),1,999999)</f>
        <v/>
      </c>
      <c r="BL26">
        <f>IF(AND($B26=1,D26&lt;&gt;"",NOT(ISNUMBER(FIND("*",D26)))),2,999999)</f>
        <v/>
      </c>
      <c r="BM26">
        <f>IF(AND($B26=1,E26&lt;&gt;"",NOT(ISNUMBER(FIND("*",E26)))),3,999999)</f>
        <v/>
      </c>
      <c r="BN26">
        <f>IF(AND($B26=1,F26&lt;&gt;"",NOT(ISNUMBER(FIND("*",F26)))),4,999999)</f>
        <v/>
      </c>
      <c r="BO26">
        <f>IF(AND($B26=1,G26&lt;&gt;"",NOT(ISNUMBER(FIND("*",G26)))),5,999999)</f>
        <v/>
      </c>
      <c r="BP26">
        <f>IF(AND($B26=1,H26&lt;&gt;"",NOT(ISNUMBER(FIND("*",H26)))),6,999999)</f>
        <v/>
      </c>
      <c r="BQ26">
        <f>IF(AND($B26=1,I26&lt;&gt;"",NOT(ISNUMBER(FIND("*",I26)))),7,999999)</f>
        <v/>
      </c>
      <c r="BR26">
        <f>IF(AND($B26=1,J26&lt;&gt;"",NOT(ISNUMBER(FIND("*",J26)))),8,999999)</f>
        <v/>
      </c>
      <c r="BS26">
        <f>IF(AND($B26=1,K26&lt;&gt;"",NOT(ISNUMBER(FIND("*",K26)))),9,999999)</f>
        <v/>
      </c>
      <c r="BT26">
        <f>IF(AND($B26=1,L26&lt;&gt;"",NOT(ISNUMBER(FIND("*",L26)))),10,999999)</f>
        <v/>
      </c>
      <c r="BU26">
        <f>IF(AND($B26=1,M26&lt;&gt;"",NOT(ISNUMBER(FIND("*",M26)))),11,999999)</f>
        <v/>
      </c>
      <c r="BV26">
        <f>IF(AND($B26=1,N26&lt;&gt;"",NOT(ISNUMBER(FIND("*",N26)))),12,999999)</f>
        <v/>
      </c>
      <c r="BW26">
        <f>IF(AND($B26=1,O26&lt;&gt;"",NOT(ISNUMBER(FIND("*",O26)))),13,999999)</f>
        <v/>
      </c>
      <c r="BX26">
        <f>IF(AND($B26=1,P26&lt;&gt;"",NOT(ISNUMBER(FIND("*",P26)))),14,999999)</f>
        <v/>
      </c>
      <c r="BY26">
        <f>IF(AND($B26=1,Q26&lt;&gt;"",NOT(ISNUMBER(FIND("*",Q26)))),15,999999)</f>
        <v/>
      </c>
      <c r="BZ26">
        <f>IF(AND($B26=1,R26&lt;&gt;"",NOT(ISNUMBER(FIND("*",R26)))),16,999999)</f>
        <v/>
      </c>
      <c r="CA26">
        <f>IF(AND($B26=1,S26&lt;&gt;"",NOT(ISNUMBER(FIND("*",S26)))),17,999999)</f>
        <v/>
      </c>
      <c r="CB26">
        <f>IF(AND($B26=1,T26&lt;&gt;"",NOT(ISNUMBER(FIND("*",T26)))),18,999999)</f>
        <v/>
      </c>
      <c r="CC26">
        <f>IF(AND($B26=1,U26&lt;&gt;"",NOT(ISNUMBER(FIND("*",U26)))),19,999999)</f>
        <v/>
      </c>
      <c r="CD26">
        <f>IF(AND($B26=1,V26&lt;&gt;"",NOT(ISNUMBER(FIND("*",V26)))),20,999999)</f>
        <v/>
      </c>
      <c r="CE26">
        <f>IF(MIN(AQ26:BJ26)&gt;=999999999,0,MATCH(MIN(AQ26:BJ26),AQ26:BJ26,0))</f>
        <v/>
      </c>
      <c r="CF26">
        <f>IF($CE26=1,999999999,W26)</f>
        <v/>
      </c>
      <c r="CG26">
        <f>IF($CE26=2,999999999,X26)</f>
        <v/>
      </c>
      <c r="CH26">
        <f>IF($CE26=3,999999999,Y26)</f>
        <v/>
      </c>
      <c r="CI26">
        <f>IF($CE26=4,999999999,Z26)</f>
        <v/>
      </c>
      <c r="CJ26">
        <f>IF($CE26=5,999999999,AA26)</f>
        <v/>
      </c>
      <c r="CK26">
        <f>IF($CE26=6,999999999,AB26)</f>
        <v/>
      </c>
      <c r="CL26">
        <f>IF($CE26=7,999999999,AC26)</f>
        <v/>
      </c>
      <c r="CM26">
        <f>IF($CE26=8,999999999,AD26)</f>
        <v/>
      </c>
      <c r="CN26">
        <f>IF($CE26=9,999999999,AE26)</f>
        <v/>
      </c>
      <c r="CO26">
        <f>IF($CE26=10,999999999,AF26)</f>
        <v/>
      </c>
      <c r="CP26">
        <f>IF($CE26=11,999999999,AG26)</f>
        <v/>
      </c>
      <c r="CQ26">
        <f>IF($CE26=12,999999999,AH26)</f>
        <v/>
      </c>
      <c r="CR26">
        <f>IF($CE26=13,999999999,AI26)</f>
        <v/>
      </c>
      <c r="CS26">
        <f>IF($CE26=14,999999999,AJ26)</f>
        <v/>
      </c>
      <c r="CT26">
        <f>IF($CE26=15,999999999,AK26)</f>
        <v/>
      </c>
      <c r="CU26">
        <f>IF($CE26=16,999999999,AL26)</f>
        <v/>
      </c>
      <c r="CV26">
        <f>IF($CE26=17,999999999,AM26)</f>
        <v/>
      </c>
      <c r="CW26">
        <f>IF($CE26=18,999999999,AN26)</f>
        <v/>
      </c>
      <c r="CX26">
        <f>IF($CE26=19,999999999,AO26)</f>
        <v/>
      </c>
      <c r="CY26">
        <f>IF($CE26=20,999999999,AP26)</f>
        <v/>
      </c>
      <c r="CZ26">
        <f>COUNTIF(W26:AP26,"&lt;999999999")</f>
        <v/>
      </c>
      <c r="DA26">
        <f>COUNTIF(BK26:CD26,"&lt;999999")</f>
        <v/>
      </c>
      <c r="DB26">
        <f>$CZ26-IF($CE26&gt;0,1,0)</f>
        <v/>
      </c>
      <c r="DC26">
        <f>IF(OR($B26=0,C26=""),0,DC25+1)</f>
        <v/>
      </c>
      <c r="DD26">
        <f>IF(OR($B26=0,D26=""),0,DD25+1)</f>
        <v/>
      </c>
      <c r="DE26">
        <f>IF(OR($B26=0,E26=""),0,DE25+1)</f>
        <v/>
      </c>
      <c r="DF26">
        <f>IF(OR($B26=0,F26=""),0,DF25+1)</f>
        <v/>
      </c>
      <c r="DG26">
        <f>IF(OR($B26=0,G26=""),0,DG25+1)</f>
        <v/>
      </c>
      <c r="DH26">
        <f>IF(OR($B26=0,H26=""),0,DH25+1)</f>
        <v/>
      </c>
      <c r="DI26">
        <f>IF(OR($B26=0,I26=""),0,DI25+1)</f>
        <v/>
      </c>
      <c r="DJ26">
        <f>IF(OR($B26=0,J26=""),0,DJ25+1)</f>
        <v/>
      </c>
      <c r="DK26">
        <f>IF(OR($B26=0,K26=""),0,DK25+1)</f>
        <v/>
      </c>
      <c r="DL26">
        <f>IF(OR($B26=0,L26=""),0,DL25+1)</f>
        <v/>
      </c>
      <c r="DM26">
        <f>IF(OR($B26=0,M26=""),0,DM25+1)</f>
        <v/>
      </c>
      <c r="DN26">
        <f>IF(OR($B26=0,N26=""),0,DN25+1)</f>
        <v/>
      </c>
      <c r="DO26">
        <f>IF(OR($B26=0,O26=""),0,DO25+1)</f>
        <v/>
      </c>
      <c r="DP26">
        <f>IF(OR($B26=0,P26=""),0,DP25+1)</f>
        <v/>
      </c>
      <c r="DQ26">
        <f>IF(OR($B26=0,Q26=""),0,DQ25+1)</f>
        <v/>
      </c>
      <c r="DR26">
        <f>IF(OR($B26=0,R26=""),0,DR25+1)</f>
        <v/>
      </c>
      <c r="DS26">
        <f>IF(OR($B26=0,S26=""),0,DS25+1)</f>
        <v/>
      </c>
      <c r="DT26">
        <f>IF(OR($B26=0,T26=""),0,DT25+1)</f>
        <v/>
      </c>
      <c r="DU26">
        <f>IF(OR($B26=0,U26=""),0,DU25+1)</f>
        <v/>
      </c>
      <c r="DV26">
        <f>IF(OR($B26=0,V26=""),0,DV25+1)</f>
        <v/>
      </c>
      <c r="DW26">
        <f>'ตารางเวร'!Z$7</f>
        <v/>
      </c>
      <c r="DX26">
        <f>IF($B26=0,0,IF(WEEKDAY('ตารางเวร'!Z$6,2)=IFERROR(MATCH('ตารางเวร'!$AM$11,'ตารางเวร'!$AO$10:$AO$17,0),0),1,0))</f>
        <v/>
      </c>
    </row>
    <row r="27">
      <c r="A27" t="n">
        <v>25</v>
      </c>
      <c r="B27">
        <f>IF(25&gt;DAY(EOMONTH(DATE('ตารางเวร'!$B$3-543,'ตารางเวร'!$B$2,1),0)),0,1)</f>
        <v/>
      </c>
      <c r="C27">
        <f>IF($B27=0,"",IFERROR(TRIM(INDEX('ตารางเวร'!$C$10:$AG$29,1,$A27)),""))</f>
        <v/>
      </c>
      <c r="D27">
        <f>IF($B27=0,"",IFERROR(TRIM(INDEX('ตารางเวร'!$C$10:$AG$29,2,$A27)),""))</f>
        <v/>
      </c>
      <c r="E27">
        <f>IF($B27=0,"",IFERROR(TRIM(INDEX('ตารางเวร'!$C$10:$AG$29,3,$A27)),""))</f>
        <v/>
      </c>
      <c r="F27">
        <f>IF($B27=0,"",IFERROR(TRIM(INDEX('ตารางเวร'!$C$10:$AG$29,4,$A27)),""))</f>
        <v/>
      </c>
      <c r="G27">
        <f>IF($B27=0,"",IFERROR(TRIM(INDEX('ตารางเวร'!$C$10:$AG$29,5,$A27)),""))</f>
        <v/>
      </c>
      <c r="H27">
        <f>IF($B27=0,"",IFERROR(TRIM(INDEX('ตารางเวร'!$C$10:$AG$29,6,$A27)),""))</f>
        <v/>
      </c>
      <c r="I27">
        <f>IF($B27=0,"",IFERROR(TRIM(INDEX('ตารางเวร'!$C$10:$AG$29,7,$A27)),""))</f>
        <v/>
      </c>
      <c r="J27">
        <f>IF($B27=0,"",IFERROR(TRIM(INDEX('ตารางเวร'!$C$10:$AG$29,8,$A27)),""))</f>
        <v/>
      </c>
      <c r="K27">
        <f>IF($B27=0,"",IFERROR(TRIM(INDEX('ตารางเวร'!$C$10:$AG$29,9,$A27)),""))</f>
        <v/>
      </c>
      <c r="L27">
        <f>IF($B27=0,"",IFERROR(TRIM(INDEX('ตารางเวร'!$C$10:$AG$29,10,$A27)),""))</f>
        <v/>
      </c>
      <c r="M27">
        <f>IF($B27=0,"",IFERROR(TRIM(INDEX('ตารางเวร'!$C$10:$AG$29,11,$A27)),""))</f>
        <v/>
      </c>
      <c r="N27">
        <f>IF($B27=0,"",IFERROR(TRIM(INDEX('ตารางเวร'!$C$10:$AG$29,12,$A27)),""))</f>
        <v/>
      </c>
      <c r="O27">
        <f>IF($B27=0,"",IFERROR(TRIM(INDEX('ตารางเวร'!$C$10:$AG$29,13,$A27)),""))</f>
        <v/>
      </c>
      <c r="P27">
        <f>IF($B27=0,"",IFERROR(TRIM(INDEX('ตารางเวร'!$C$10:$AG$29,14,$A27)),""))</f>
        <v/>
      </c>
      <c r="Q27">
        <f>IF($B27=0,"",IFERROR(TRIM(INDEX('ตารางเวร'!$C$10:$AG$29,15,$A27)),""))</f>
        <v/>
      </c>
      <c r="R27">
        <f>IF($B27=0,"",IFERROR(TRIM(INDEX('ตารางเวร'!$C$10:$AG$29,16,$A27)),""))</f>
        <v/>
      </c>
      <c r="S27">
        <f>IF($B27=0,"",IFERROR(TRIM(INDEX('ตารางเวร'!$C$10:$AG$29,17,$A27)),""))</f>
        <v/>
      </c>
      <c r="T27">
        <f>IF($B27=0,"",IFERROR(TRIM(INDEX('ตารางเวร'!$C$10:$AG$29,18,$A27)),""))</f>
        <v/>
      </c>
      <c r="U27">
        <f>IF($B27=0,"",IFERROR(TRIM(INDEX('ตารางเวร'!$C$10:$AG$29,19,$A27)),""))</f>
        <v/>
      </c>
      <c r="V27">
        <f>IF($B27=0,"",IFERROR(TRIM(INDEX('ตารางเวร'!$C$10:$AG$29,20,$A27)),""))</f>
        <v/>
      </c>
      <c r="W27">
        <f>IF(AND($B27=1,C27&lt;&gt;"",ISNUMBER(FIND("*",C27))),MOD((MOD('ตารางเวร'!$B$4,9973)*7919+$A27*40289)*(1*104729+7919),99991)*100+1,999999999)</f>
        <v/>
      </c>
      <c r="X27">
        <f>IF(AND($B27=1,D27&lt;&gt;"",ISNUMBER(FIND("*",D27))),MOD((MOD('ตารางเวร'!$B$4,9973)*7919+$A27*40289)*(2*104729+7919),99991)*100+2,999999999)</f>
        <v/>
      </c>
      <c r="Y27">
        <f>IF(AND($B27=1,E27&lt;&gt;"",ISNUMBER(FIND("*",E27))),MOD((MOD('ตารางเวร'!$B$4,9973)*7919+$A27*40289)*(3*104729+7919),99991)*100+3,999999999)</f>
        <v/>
      </c>
      <c r="Z27">
        <f>IF(AND($B27=1,F27&lt;&gt;"",ISNUMBER(FIND("*",F27))),MOD((MOD('ตารางเวร'!$B$4,9973)*7919+$A27*40289)*(4*104729+7919),99991)*100+4,999999999)</f>
        <v/>
      </c>
      <c r="AA27">
        <f>IF(AND($B27=1,G27&lt;&gt;"",ISNUMBER(FIND("*",G27))),MOD((MOD('ตารางเวร'!$B$4,9973)*7919+$A27*40289)*(5*104729+7919),99991)*100+5,999999999)</f>
        <v/>
      </c>
      <c r="AB27">
        <f>IF(AND($B27=1,H27&lt;&gt;"",ISNUMBER(FIND("*",H27))),MOD((MOD('ตารางเวร'!$B$4,9973)*7919+$A27*40289)*(6*104729+7919),99991)*100+6,999999999)</f>
        <v/>
      </c>
      <c r="AC27">
        <f>IF(AND($B27=1,I27&lt;&gt;"",ISNUMBER(FIND("*",I27))),MOD((MOD('ตารางเวร'!$B$4,9973)*7919+$A27*40289)*(7*104729+7919),99991)*100+7,999999999)</f>
        <v/>
      </c>
      <c r="AD27">
        <f>IF(AND($B27=1,J27&lt;&gt;"",ISNUMBER(FIND("*",J27))),MOD((MOD('ตารางเวร'!$B$4,9973)*7919+$A27*40289)*(8*104729+7919),99991)*100+8,999999999)</f>
        <v/>
      </c>
      <c r="AE27">
        <f>IF(AND($B27=1,K27&lt;&gt;"",ISNUMBER(FIND("*",K27))),MOD((MOD('ตารางเวร'!$B$4,9973)*7919+$A27*40289)*(9*104729+7919),99991)*100+9,999999999)</f>
        <v/>
      </c>
      <c r="AF27">
        <f>IF(AND($B27=1,L27&lt;&gt;"",ISNUMBER(FIND("*",L27))),MOD((MOD('ตารางเวร'!$B$4,9973)*7919+$A27*40289)*(10*104729+7919),99991)*100+10,999999999)</f>
        <v/>
      </c>
      <c r="AG27">
        <f>IF(AND($B27=1,M27&lt;&gt;"",ISNUMBER(FIND("*",M27))),MOD((MOD('ตารางเวร'!$B$4,9973)*7919+$A27*40289)*(11*104729+7919),99991)*100+11,999999999)</f>
        <v/>
      </c>
      <c r="AH27">
        <f>IF(AND($B27=1,N27&lt;&gt;"",ISNUMBER(FIND("*",N27))),MOD((MOD('ตารางเวร'!$B$4,9973)*7919+$A27*40289)*(12*104729+7919),99991)*100+12,999999999)</f>
        <v/>
      </c>
      <c r="AI27">
        <f>IF(AND($B27=1,O27&lt;&gt;"",ISNUMBER(FIND("*",O27))),MOD((MOD('ตารางเวร'!$B$4,9973)*7919+$A27*40289)*(13*104729+7919),99991)*100+13,999999999)</f>
        <v/>
      </c>
      <c r="AJ27">
        <f>IF(AND($B27=1,P27&lt;&gt;"",ISNUMBER(FIND("*",P27))),MOD((MOD('ตารางเวร'!$B$4,9973)*7919+$A27*40289)*(14*104729+7919),99991)*100+14,999999999)</f>
        <v/>
      </c>
      <c r="AK27">
        <f>IF(AND($B27=1,Q27&lt;&gt;"",ISNUMBER(FIND("*",Q27))),MOD((MOD('ตารางเวร'!$B$4,9973)*7919+$A27*40289)*(15*104729+7919),99991)*100+15,999999999)</f>
        <v/>
      </c>
      <c r="AL27">
        <f>IF(AND($B27=1,R27&lt;&gt;"",ISNUMBER(FIND("*",R27))),MOD((MOD('ตารางเวร'!$B$4,9973)*7919+$A27*40289)*(16*104729+7919),99991)*100+16,999999999)</f>
        <v/>
      </c>
      <c r="AM27">
        <f>IF(AND($B27=1,S27&lt;&gt;"",ISNUMBER(FIND("*",S27))),MOD((MOD('ตารางเวร'!$B$4,9973)*7919+$A27*40289)*(17*104729+7919),99991)*100+17,999999999)</f>
        <v/>
      </c>
      <c r="AN27">
        <f>IF(AND($B27=1,T27&lt;&gt;"",ISNUMBER(FIND("*",T27))),MOD((MOD('ตารางเวร'!$B$4,9973)*7919+$A27*40289)*(18*104729+7919),99991)*100+18,999999999)</f>
        <v/>
      </c>
      <c r="AO27">
        <f>IF(AND($B27=1,U27&lt;&gt;"",ISNUMBER(FIND("*",U27))),MOD((MOD('ตารางเวร'!$B$4,9973)*7919+$A27*40289)*(19*104729+7919),99991)*100+19,999999999)</f>
        <v/>
      </c>
      <c r="AP27">
        <f>IF(AND($B27=1,V27&lt;&gt;"",ISNUMBER(FIND("*",V27))),MOD((MOD('ตารางเวร'!$B$4,9973)*7919+$A27*40289)*(20*104729+7919),99991)*100+20,999999999)</f>
        <v/>
      </c>
      <c r="AQ27">
        <f>IF(TRIM('ตารางเวร'!$B$10)&lt;&gt;"",999999999,W27)</f>
        <v/>
      </c>
      <c r="AR27">
        <f>IF(TRIM('ตารางเวร'!$B$11)&lt;&gt;"",999999999,X27)</f>
        <v/>
      </c>
      <c r="AS27">
        <f>IF(TRIM('ตารางเวร'!$B$12)&lt;&gt;"",999999999,Y27)</f>
        <v/>
      </c>
      <c r="AT27">
        <f>IF(TRIM('ตารางเวร'!$B$13)&lt;&gt;"",999999999,Z27)</f>
        <v/>
      </c>
      <c r="AU27">
        <f>IF(TRIM('ตารางเวร'!$B$14)&lt;&gt;"",999999999,AA27)</f>
        <v/>
      </c>
      <c r="AV27">
        <f>IF(TRIM('ตารางเวร'!$B$15)&lt;&gt;"",999999999,AB27)</f>
        <v/>
      </c>
      <c r="AW27">
        <f>IF(TRIM('ตารางเวร'!$B$16)&lt;&gt;"",999999999,AC27)</f>
        <v/>
      </c>
      <c r="AX27">
        <f>IF(TRIM('ตารางเวร'!$B$17)&lt;&gt;"",999999999,AD27)</f>
        <v/>
      </c>
      <c r="AY27">
        <f>IF(TRIM('ตารางเวร'!$B$18)&lt;&gt;"",999999999,AE27)</f>
        <v/>
      </c>
      <c r="AZ27">
        <f>IF(TRIM('ตารางเวร'!$B$19)&lt;&gt;"",999999999,AF27)</f>
        <v/>
      </c>
      <c r="BA27">
        <f>IF(TRIM('ตารางเวร'!$B$20)&lt;&gt;"",999999999,AG27)</f>
        <v/>
      </c>
      <c r="BB27">
        <f>IF(TRIM('ตารางเวร'!$B$21)&lt;&gt;"",999999999,AH27)</f>
        <v/>
      </c>
      <c r="BC27">
        <f>IF(TRIM('ตารางเวร'!$B$22)&lt;&gt;"",999999999,AI27)</f>
        <v/>
      </c>
      <c r="BD27">
        <f>IF(TRIM('ตารางเวร'!$B$23)&lt;&gt;"",999999999,AJ27)</f>
        <v/>
      </c>
      <c r="BE27">
        <f>IF(TRIM('ตารางเวร'!$B$24)&lt;&gt;"",999999999,AK27)</f>
        <v/>
      </c>
      <c r="BF27">
        <f>IF(TRIM('ตารางเวร'!$B$25)&lt;&gt;"",999999999,AL27)</f>
        <v/>
      </c>
      <c r="BG27">
        <f>IF(TRIM('ตารางเวร'!$B$26)&lt;&gt;"",999999999,AM27)</f>
        <v/>
      </c>
      <c r="BH27">
        <f>IF(TRIM('ตารางเวร'!$B$27)&lt;&gt;"",999999999,AN27)</f>
        <v/>
      </c>
      <c r="BI27">
        <f>IF(TRIM('ตารางเวร'!$B$28)&lt;&gt;"",999999999,AO27)</f>
        <v/>
      </c>
      <c r="BJ27">
        <f>IF(TRIM('ตารางเวร'!$B$29)&lt;&gt;"",999999999,AP27)</f>
        <v/>
      </c>
      <c r="BK27">
        <f>IF(AND($B27=1,C27&lt;&gt;"",NOT(ISNUMBER(FIND("*",C27)))),1,999999)</f>
        <v/>
      </c>
      <c r="BL27">
        <f>IF(AND($B27=1,D27&lt;&gt;"",NOT(ISNUMBER(FIND("*",D27)))),2,999999)</f>
        <v/>
      </c>
      <c r="BM27">
        <f>IF(AND($B27=1,E27&lt;&gt;"",NOT(ISNUMBER(FIND("*",E27)))),3,999999)</f>
        <v/>
      </c>
      <c r="BN27">
        <f>IF(AND($B27=1,F27&lt;&gt;"",NOT(ISNUMBER(FIND("*",F27)))),4,999999)</f>
        <v/>
      </c>
      <c r="BO27">
        <f>IF(AND($B27=1,G27&lt;&gt;"",NOT(ISNUMBER(FIND("*",G27)))),5,999999)</f>
        <v/>
      </c>
      <c r="BP27">
        <f>IF(AND($B27=1,H27&lt;&gt;"",NOT(ISNUMBER(FIND("*",H27)))),6,999999)</f>
        <v/>
      </c>
      <c r="BQ27">
        <f>IF(AND($B27=1,I27&lt;&gt;"",NOT(ISNUMBER(FIND("*",I27)))),7,999999)</f>
        <v/>
      </c>
      <c r="BR27">
        <f>IF(AND($B27=1,J27&lt;&gt;"",NOT(ISNUMBER(FIND("*",J27)))),8,999999)</f>
        <v/>
      </c>
      <c r="BS27">
        <f>IF(AND($B27=1,K27&lt;&gt;"",NOT(ISNUMBER(FIND("*",K27)))),9,999999)</f>
        <v/>
      </c>
      <c r="BT27">
        <f>IF(AND($B27=1,L27&lt;&gt;"",NOT(ISNUMBER(FIND("*",L27)))),10,999999)</f>
        <v/>
      </c>
      <c r="BU27">
        <f>IF(AND($B27=1,M27&lt;&gt;"",NOT(ISNUMBER(FIND("*",M27)))),11,999999)</f>
        <v/>
      </c>
      <c r="BV27">
        <f>IF(AND($B27=1,N27&lt;&gt;"",NOT(ISNUMBER(FIND("*",N27)))),12,999999)</f>
        <v/>
      </c>
      <c r="BW27">
        <f>IF(AND($B27=1,O27&lt;&gt;"",NOT(ISNUMBER(FIND("*",O27)))),13,999999)</f>
        <v/>
      </c>
      <c r="BX27">
        <f>IF(AND($B27=1,P27&lt;&gt;"",NOT(ISNUMBER(FIND("*",P27)))),14,999999)</f>
        <v/>
      </c>
      <c r="BY27">
        <f>IF(AND($B27=1,Q27&lt;&gt;"",NOT(ISNUMBER(FIND("*",Q27)))),15,999999)</f>
        <v/>
      </c>
      <c r="BZ27">
        <f>IF(AND($B27=1,R27&lt;&gt;"",NOT(ISNUMBER(FIND("*",R27)))),16,999999)</f>
        <v/>
      </c>
      <c r="CA27">
        <f>IF(AND($B27=1,S27&lt;&gt;"",NOT(ISNUMBER(FIND("*",S27)))),17,999999)</f>
        <v/>
      </c>
      <c r="CB27">
        <f>IF(AND($B27=1,T27&lt;&gt;"",NOT(ISNUMBER(FIND("*",T27)))),18,999999)</f>
        <v/>
      </c>
      <c r="CC27">
        <f>IF(AND($B27=1,U27&lt;&gt;"",NOT(ISNUMBER(FIND("*",U27)))),19,999999)</f>
        <v/>
      </c>
      <c r="CD27">
        <f>IF(AND($B27=1,V27&lt;&gt;"",NOT(ISNUMBER(FIND("*",V27)))),20,999999)</f>
        <v/>
      </c>
      <c r="CE27">
        <f>IF(MIN(AQ27:BJ27)&gt;=999999999,0,MATCH(MIN(AQ27:BJ27),AQ27:BJ27,0))</f>
        <v/>
      </c>
      <c r="CF27">
        <f>IF($CE27=1,999999999,W27)</f>
        <v/>
      </c>
      <c r="CG27">
        <f>IF($CE27=2,999999999,X27)</f>
        <v/>
      </c>
      <c r="CH27">
        <f>IF($CE27=3,999999999,Y27)</f>
        <v/>
      </c>
      <c r="CI27">
        <f>IF($CE27=4,999999999,Z27)</f>
        <v/>
      </c>
      <c r="CJ27">
        <f>IF($CE27=5,999999999,AA27)</f>
        <v/>
      </c>
      <c r="CK27">
        <f>IF($CE27=6,999999999,AB27)</f>
        <v/>
      </c>
      <c r="CL27">
        <f>IF($CE27=7,999999999,AC27)</f>
        <v/>
      </c>
      <c r="CM27">
        <f>IF($CE27=8,999999999,AD27)</f>
        <v/>
      </c>
      <c r="CN27">
        <f>IF($CE27=9,999999999,AE27)</f>
        <v/>
      </c>
      <c r="CO27">
        <f>IF($CE27=10,999999999,AF27)</f>
        <v/>
      </c>
      <c r="CP27">
        <f>IF($CE27=11,999999999,AG27)</f>
        <v/>
      </c>
      <c r="CQ27">
        <f>IF($CE27=12,999999999,AH27)</f>
        <v/>
      </c>
      <c r="CR27">
        <f>IF($CE27=13,999999999,AI27)</f>
        <v/>
      </c>
      <c r="CS27">
        <f>IF($CE27=14,999999999,AJ27)</f>
        <v/>
      </c>
      <c r="CT27">
        <f>IF($CE27=15,999999999,AK27)</f>
        <v/>
      </c>
      <c r="CU27">
        <f>IF($CE27=16,999999999,AL27)</f>
        <v/>
      </c>
      <c r="CV27">
        <f>IF($CE27=17,999999999,AM27)</f>
        <v/>
      </c>
      <c r="CW27">
        <f>IF($CE27=18,999999999,AN27)</f>
        <v/>
      </c>
      <c r="CX27">
        <f>IF($CE27=19,999999999,AO27)</f>
        <v/>
      </c>
      <c r="CY27">
        <f>IF($CE27=20,999999999,AP27)</f>
        <v/>
      </c>
      <c r="CZ27">
        <f>COUNTIF(W27:AP27,"&lt;999999999")</f>
        <v/>
      </c>
      <c r="DA27">
        <f>COUNTIF(BK27:CD27,"&lt;999999")</f>
        <v/>
      </c>
      <c r="DB27">
        <f>$CZ27-IF($CE27&gt;0,1,0)</f>
        <v/>
      </c>
      <c r="DC27">
        <f>IF(OR($B27=0,C27=""),0,DC26+1)</f>
        <v/>
      </c>
      <c r="DD27">
        <f>IF(OR($B27=0,D27=""),0,DD26+1)</f>
        <v/>
      </c>
      <c r="DE27">
        <f>IF(OR($B27=0,E27=""),0,DE26+1)</f>
        <v/>
      </c>
      <c r="DF27">
        <f>IF(OR($B27=0,F27=""),0,DF26+1)</f>
        <v/>
      </c>
      <c r="DG27">
        <f>IF(OR($B27=0,G27=""),0,DG26+1)</f>
        <v/>
      </c>
      <c r="DH27">
        <f>IF(OR($B27=0,H27=""),0,DH26+1)</f>
        <v/>
      </c>
      <c r="DI27">
        <f>IF(OR($B27=0,I27=""),0,DI26+1)</f>
        <v/>
      </c>
      <c r="DJ27">
        <f>IF(OR($B27=0,J27=""),0,DJ26+1)</f>
        <v/>
      </c>
      <c r="DK27">
        <f>IF(OR($B27=0,K27=""),0,DK26+1)</f>
        <v/>
      </c>
      <c r="DL27">
        <f>IF(OR($B27=0,L27=""),0,DL26+1)</f>
        <v/>
      </c>
      <c r="DM27">
        <f>IF(OR($B27=0,M27=""),0,DM26+1)</f>
        <v/>
      </c>
      <c r="DN27">
        <f>IF(OR($B27=0,N27=""),0,DN26+1)</f>
        <v/>
      </c>
      <c r="DO27">
        <f>IF(OR($B27=0,O27=""),0,DO26+1)</f>
        <v/>
      </c>
      <c r="DP27">
        <f>IF(OR($B27=0,P27=""),0,DP26+1)</f>
        <v/>
      </c>
      <c r="DQ27">
        <f>IF(OR($B27=0,Q27=""),0,DQ26+1)</f>
        <v/>
      </c>
      <c r="DR27">
        <f>IF(OR($B27=0,R27=""),0,DR26+1)</f>
        <v/>
      </c>
      <c r="DS27">
        <f>IF(OR($B27=0,S27=""),0,DS26+1)</f>
        <v/>
      </c>
      <c r="DT27">
        <f>IF(OR($B27=0,T27=""),0,DT26+1)</f>
        <v/>
      </c>
      <c r="DU27">
        <f>IF(OR($B27=0,U27=""),0,DU26+1)</f>
        <v/>
      </c>
      <c r="DV27">
        <f>IF(OR($B27=0,V27=""),0,DV26+1)</f>
        <v/>
      </c>
      <c r="DW27">
        <f>'ตารางเวร'!AA$7</f>
        <v/>
      </c>
      <c r="DX27">
        <f>IF($B27=0,0,IF(WEEKDAY('ตารางเวร'!AA$6,2)=IFERROR(MATCH('ตารางเวร'!$AM$11,'ตารางเวร'!$AO$10:$AO$17,0),0),1,0))</f>
        <v/>
      </c>
    </row>
    <row r="28">
      <c r="A28" t="n">
        <v>26</v>
      </c>
      <c r="B28">
        <f>IF(26&gt;DAY(EOMONTH(DATE('ตารางเวร'!$B$3-543,'ตารางเวร'!$B$2,1),0)),0,1)</f>
        <v/>
      </c>
      <c r="C28">
        <f>IF($B28=0,"",IFERROR(TRIM(INDEX('ตารางเวร'!$C$10:$AG$29,1,$A28)),""))</f>
        <v/>
      </c>
      <c r="D28">
        <f>IF($B28=0,"",IFERROR(TRIM(INDEX('ตารางเวร'!$C$10:$AG$29,2,$A28)),""))</f>
        <v/>
      </c>
      <c r="E28">
        <f>IF($B28=0,"",IFERROR(TRIM(INDEX('ตารางเวร'!$C$10:$AG$29,3,$A28)),""))</f>
        <v/>
      </c>
      <c r="F28">
        <f>IF($B28=0,"",IFERROR(TRIM(INDEX('ตารางเวร'!$C$10:$AG$29,4,$A28)),""))</f>
        <v/>
      </c>
      <c r="G28">
        <f>IF($B28=0,"",IFERROR(TRIM(INDEX('ตารางเวร'!$C$10:$AG$29,5,$A28)),""))</f>
        <v/>
      </c>
      <c r="H28">
        <f>IF($B28=0,"",IFERROR(TRIM(INDEX('ตารางเวร'!$C$10:$AG$29,6,$A28)),""))</f>
        <v/>
      </c>
      <c r="I28">
        <f>IF($B28=0,"",IFERROR(TRIM(INDEX('ตารางเวร'!$C$10:$AG$29,7,$A28)),""))</f>
        <v/>
      </c>
      <c r="J28">
        <f>IF($B28=0,"",IFERROR(TRIM(INDEX('ตารางเวร'!$C$10:$AG$29,8,$A28)),""))</f>
        <v/>
      </c>
      <c r="K28">
        <f>IF($B28=0,"",IFERROR(TRIM(INDEX('ตารางเวร'!$C$10:$AG$29,9,$A28)),""))</f>
        <v/>
      </c>
      <c r="L28">
        <f>IF($B28=0,"",IFERROR(TRIM(INDEX('ตารางเวร'!$C$10:$AG$29,10,$A28)),""))</f>
        <v/>
      </c>
      <c r="M28">
        <f>IF($B28=0,"",IFERROR(TRIM(INDEX('ตารางเวร'!$C$10:$AG$29,11,$A28)),""))</f>
        <v/>
      </c>
      <c r="N28">
        <f>IF($B28=0,"",IFERROR(TRIM(INDEX('ตารางเวร'!$C$10:$AG$29,12,$A28)),""))</f>
        <v/>
      </c>
      <c r="O28">
        <f>IF($B28=0,"",IFERROR(TRIM(INDEX('ตารางเวร'!$C$10:$AG$29,13,$A28)),""))</f>
        <v/>
      </c>
      <c r="P28">
        <f>IF($B28=0,"",IFERROR(TRIM(INDEX('ตารางเวร'!$C$10:$AG$29,14,$A28)),""))</f>
        <v/>
      </c>
      <c r="Q28">
        <f>IF($B28=0,"",IFERROR(TRIM(INDEX('ตารางเวร'!$C$10:$AG$29,15,$A28)),""))</f>
        <v/>
      </c>
      <c r="R28">
        <f>IF($B28=0,"",IFERROR(TRIM(INDEX('ตารางเวร'!$C$10:$AG$29,16,$A28)),""))</f>
        <v/>
      </c>
      <c r="S28">
        <f>IF($B28=0,"",IFERROR(TRIM(INDEX('ตารางเวร'!$C$10:$AG$29,17,$A28)),""))</f>
        <v/>
      </c>
      <c r="T28">
        <f>IF($B28=0,"",IFERROR(TRIM(INDEX('ตารางเวร'!$C$10:$AG$29,18,$A28)),""))</f>
        <v/>
      </c>
      <c r="U28">
        <f>IF($B28=0,"",IFERROR(TRIM(INDEX('ตารางเวร'!$C$10:$AG$29,19,$A28)),""))</f>
        <v/>
      </c>
      <c r="V28">
        <f>IF($B28=0,"",IFERROR(TRIM(INDEX('ตารางเวร'!$C$10:$AG$29,20,$A28)),""))</f>
        <v/>
      </c>
      <c r="W28">
        <f>IF(AND($B28=1,C28&lt;&gt;"",ISNUMBER(FIND("*",C28))),MOD((MOD('ตารางเวร'!$B$4,9973)*7919+$A28*40289)*(1*104729+7919),99991)*100+1,999999999)</f>
        <v/>
      </c>
      <c r="X28">
        <f>IF(AND($B28=1,D28&lt;&gt;"",ISNUMBER(FIND("*",D28))),MOD((MOD('ตารางเวร'!$B$4,9973)*7919+$A28*40289)*(2*104729+7919),99991)*100+2,999999999)</f>
        <v/>
      </c>
      <c r="Y28">
        <f>IF(AND($B28=1,E28&lt;&gt;"",ISNUMBER(FIND("*",E28))),MOD((MOD('ตารางเวร'!$B$4,9973)*7919+$A28*40289)*(3*104729+7919),99991)*100+3,999999999)</f>
        <v/>
      </c>
      <c r="Z28">
        <f>IF(AND($B28=1,F28&lt;&gt;"",ISNUMBER(FIND("*",F28))),MOD((MOD('ตารางเวร'!$B$4,9973)*7919+$A28*40289)*(4*104729+7919),99991)*100+4,999999999)</f>
        <v/>
      </c>
      <c r="AA28">
        <f>IF(AND($B28=1,G28&lt;&gt;"",ISNUMBER(FIND("*",G28))),MOD((MOD('ตารางเวร'!$B$4,9973)*7919+$A28*40289)*(5*104729+7919),99991)*100+5,999999999)</f>
        <v/>
      </c>
      <c r="AB28">
        <f>IF(AND($B28=1,H28&lt;&gt;"",ISNUMBER(FIND("*",H28))),MOD((MOD('ตารางเวร'!$B$4,9973)*7919+$A28*40289)*(6*104729+7919),99991)*100+6,999999999)</f>
        <v/>
      </c>
      <c r="AC28">
        <f>IF(AND($B28=1,I28&lt;&gt;"",ISNUMBER(FIND("*",I28))),MOD((MOD('ตารางเวร'!$B$4,9973)*7919+$A28*40289)*(7*104729+7919),99991)*100+7,999999999)</f>
        <v/>
      </c>
      <c r="AD28">
        <f>IF(AND($B28=1,J28&lt;&gt;"",ISNUMBER(FIND("*",J28))),MOD((MOD('ตารางเวร'!$B$4,9973)*7919+$A28*40289)*(8*104729+7919),99991)*100+8,999999999)</f>
        <v/>
      </c>
      <c r="AE28">
        <f>IF(AND($B28=1,K28&lt;&gt;"",ISNUMBER(FIND("*",K28))),MOD((MOD('ตารางเวร'!$B$4,9973)*7919+$A28*40289)*(9*104729+7919),99991)*100+9,999999999)</f>
        <v/>
      </c>
      <c r="AF28">
        <f>IF(AND($B28=1,L28&lt;&gt;"",ISNUMBER(FIND("*",L28))),MOD((MOD('ตารางเวร'!$B$4,9973)*7919+$A28*40289)*(10*104729+7919),99991)*100+10,999999999)</f>
        <v/>
      </c>
      <c r="AG28">
        <f>IF(AND($B28=1,M28&lt;&gt;"",ISNUMBER(FIND("*",M28))),MOD((MOD('ตารางเวร'!$B$4,9973)*7919+$A28*40289)*(11*104729+7919),99991)*100+11,999999999)</f>
        <v/>
      </c>
      <c r="AH28">
        <f>IF(AND($B28=1,N28&lt;&gt;"",ISNUMBER(FIND("*",N28))),MOD((MOD('ตารางเวร'!$B$4,9973)*7919+$A28*40289)*(12*104729+7919),99991)*100+12,999999999)</f>
        <v/>
      </c>
      <c r="AI28">
        <f>IF(AND($B28=1,O28&lt;&gt;"",ISNUMBER(FIND("*",O28))),MOD((MOD('ตารางเวร'!$B$4,9973)*7919+$A28*40289)*(13*104729+7919),99991)*100+13,999999999)</f>
        <v/>
      </c>
      <c r="AJ28">
        <f>IF(AND($B28=1,P28&lt;&gt;"",ISNUMBER(FIND("*",P28))),MOD((MOD('ตารางเวร'!$B$4,9973)*7919+$A28*40289)*(14*104729+7919),99991)*100+14,999999999)</f>
        <v/>
      </c>
      <c r="AK28">
        <f>IF(AND($B28=1,Q28&lt;&gt;"",ISNUMBER(FIND("*",Q28))),MOD((MOD('ตารางเวร'!$B$4,9973)*7919+$A28*40289)*(15*104729+7919),99991)*100+15,999999999)</f>
        <v/>
      </c>
      <c r="AL28">
        <f>IF(AND($B28=1,R28&lt;&gt;"",ISNUMBER(FIND("*",R28))),MOD((MOD('ตารางเวร'!$B$4,9973)*7919+$A28*40289)*(16*104729+7919),99991)*100+16,999999999)</f>
        <v/>
      </c>
      <c r="AM28">
        <f>IF(AND($B28=1,S28&lt;&gt;"",ISNUMBER(FIND("*",S28))),MOD((MOD('ตารางเวร'!$B$4,9973)*7919+$A28*40289)*(17*104729+7919),99991)*100+17,999999999)</f>
        <v/>
      </c>
      <c r="AN28">
        <f>IF(AND($B28=1,T28&lt;&gt;"",ISNUMBER(FIND("*",T28))),MOD((MOD('ตารางเวร'!$B$4,9973)*7919+$A28*40289)*(18*104729+7919),99991)*100+18,999999999)</f>
        <v/>
      </c>
      <c r="AO28">
        <f>IF(AND($B28=1,U28&lt;&gt;"",ISNUMBER(FIND("*",U28))),MOD((MOD('ตารางเวร'!$B$4,9973)*7919+$A28*40289)*(19*104729+7919),99991)*100+19,999999999)</f>
        <v/>
      </c>
      <c r="AP28">
        <f>IF(AND($B28=1,V28&lt;&gt;"",ISNUMBER(FIND("*",V28))),MOD((MOD('ตารางเวร'!$B$4,9973)*7919+$A28*40289)*(20*104729+7919),99991)*100+20,999999999)</f>
        <v/>
      </c>
      <c r="AQ28">
        <f>IF(TRIM('ตารางเวร'!$B$10)&lt;&gt;"",999999999,W28)</f>
        <v/>
      </c>
      <c r="AR28">
        <f>IF(TRIM('ตารางเวร'!$B$11)&lt;&gt;"",999999999,X28)</f>
        <v/>
      </c>
      <c r="AS28">
        <f>IF(TRIM('ตารางเวร'!$B$12)&lt;&gt;"",999999999,Y28)</f>
        <v/>
      </c>
      <c r="AT28">
        <f>IF(TRIM('ตารางเวร'!$B$13)&lt;&gt;"",999999999,Z28)</f>
        <v/>
      </c>
      <c r="AU28">
        <f>IF(TRIM('ตารางเวร'!$B$14)&lt;&gt;"",999999999,AA28)</f>
        <v/>
      </c>
      <c r="AV28">
        <f>IF(TRIM('ตารางเวร'!$B$15)&lt;&gt;"",999999999,AB28)</f>
        <v/>
      </c>
      <c r="AW28">
        <f>IF(TRIM('ตารางเวร'!$B$16)&lt;&gt;"",999999999,AC28)</f>
        <v/>
      </c>
      <c r="AX28">
        <f>IF(TRIM('ตารางเวร'!$B$17)&lt;&gt;"",999999999,AD28)</f>
        <v/>
      </c>
      <c r="AY28">
        <f>IF(TRIM('ตารางเวร'!$B$18)&lt;&gt;"",999999999,AE28)</f>
        <v/>
      </c>
      <c r="AZ28">
        <f>IF(TRIM('ตารางเวร'!$B$19)&lt;&gt;"",999999999,AF28)</f>
        <v/>
      </c>
      <c r="BA28">
        <f>IF(TRIM('ตารางเวร'!$B$20)&lt;&gt;"",999999999,AG28)</f>
        <v/>
      </c>
      <c r="BB28">
        <f>IF(TRIM('ตารางเวร'!$B$21)&lt;&gt;"",999999999,AH28)</f>
        <v/>
      </c>
      <c r="BC28">
        <f>IF(TRIM('ตารางเวร'!$B$22)&lt;&gt;"",999999999,AI28)</f>
        <v/>
      </c>
      <c r="BD28">
        <f>IF(TRIM('ตารางเวร'!$B$23)&lt;&gt;"",999999999,AJ28)</f>
        <v/>
      </c>
      <c r="BE28">
        <f>IF(TRIM('ตารางเวร'!$B$24)&lt;&gt;"",999999999,AK28)</f>
        <v/>
      </c>
      <c r="BF28">
        <f>IF(TRIM('ตารางเวร'!$B$25)&lt;&gt;"",999999999,AL28)</f>
        <v/>
      </c>
      <c r="BG28">
        <f>IF(TRIM('ตารางเวร'!$B$26)&lt;&gt;"",999999999,AM28)</f>
        <v/>
      </c>
      <c r="BH28">
        <f>IF(TRIM('ตารางเวร'!$B$27)&lt;&gt;"",999999999,AN28)</f>
        <v/>
      </c>
      <c r="BI28">
        <f>IF(TRIM('ตารางเวร'!$B$28)&lt;&gt;"",999999999,AO28)</f>
        <v/>
      </c>
      <c r="BJ28">
        <f>IF(TRIM('ตารางเวร'!$B$29)&lt;&gt;"",999999999,AP28)</f>
        <v/>
      </c>
      <c r="BK28">
        <f>IF(AND($B28=1,C28&lt;&gt;"",NOT(ISNUMBER(FIND("*",C28)))),1,999999)</f>
        <v/>
      </c>
      <c r="BL28">
        <f>IF(AND($B28=1,D28&lt;&gt;"",NOT(ISNUMBER(FIND("*",D28)))),2,999999)</f>
        <v/>
      </c>
      <c r="BM28">
        <f>IF(AND($B28=1,E28&lt;&gt;"",NOT(ISNUMBER(FIND("*",E28)))),3,999999)</f>
        <v/>
      </c>
      <c r="BN28">
        <f>IF(AND($B28=1,F28&lt;&gt;"",NOT(ISNUMBER(FIND("*",F28)))),4,999999)</f>
        <v/>
      </c>
      <c r="BO28">
        <f>IF(AND($B28=1,G28&lt;&gt;"",NOT(ISNUMBER(FIND("*",G28)))),5,999999)</f>
        <v/>
      </c>
      <c r="BP28">
        <f>IF(AND($B28=1,H28&lt;&gt;"",NOT(ISNUMBER(FIND("*",H28)))),6,999999)</f>
        <v/>
      </c>
      <c r="BQ28">
        <f>IF(AND($B28=1,I28&lt;&gt;"",NOT(ISNUMBER(FIND("*",I28)))),7,999999)</f>
        <v/>
      </c>
      <c r="BR28">
        <f>IF(AND($B28=1,J28&lt;&gt;"",NOT(ISNUMBER(FIND("*",J28)))),8,999999)</f>
        <v/>
      </c>
      <c r="BS28">
        <f>IF(AND($B28=1,K28&lt;&gt;"",NOT(ISNUMBER(FIND("*",K28)))),9,999999)</f>
        <v/>
      </c>
      <c r="BT28">
        <f>IF(AND($B28=1,L28&lt;&gt;"",NOT(ISNUMBER(FIND("*",L28)))),10,999999)</f>
        <v/>
      </c>
      <c r="BU28">
        <f>IF(AND($B28=1,M28&lt;&gt;"",NOT(ISNUMBER(FIND("*",M28)))),11,999999)</f>
        <v/>
      </c>
      <c r="BV28">
        <f>IF(AND($B28=1,N28&lt;&gt;"",NOT(ISNUMBER(FIND("*",N28)))),12,999999)</f>
        <v/>
      </c>
      <c r="BW28">
        <f>IF(AND($B28=1,O28&lt;&gt;"",NOT(ISNUMBER(FIND("*",O28)))),13,999999)</f>
        <v/>
      </c>
      <c r="BX28">
        <f>IF(AND($B28=1,P28&lt;&gt;"",NOT(ISNUMBER(FIND("*",P28)))),14,999999)</f>
        <v/>
      </c>
      <c r="BY28">
        <f>IF(AND($B28=1,Q28&lt;&gt;"",NOT(ISNUMBER(FIND("*",Q28)))),15,999999)</f>
        <v/>
      </c>
      <c r="BZ28">
        <f>IF(AND($B28=1,R28&lt;&gt;"",NOT(ISNUMBER(FIND("*",R28)))),16,999999)</f>
        <v/>
      </c>
      <c r="CA28">
        <f>IF(AND($B28=1,S28&lt;&gt;"",NOT(ISNUMBER(FIND("*",S28)))),17,999999)</f>
        <v/>
      </c>
      <c r="CB28">
        <f>IF(AND($B28=1,T28&lt;&gt;"",NOT(ISNUMBER(FIND("*",T28)))),18,999999)</f>
        <v/>
      </c>
      <c r="CC28">
        <f>IF(AND($B28=1,U28&lt;&gt;"",NOT(ISNUMBER(FIND("*",U28)))),19,999999)</f>
        <v/>
      </c>
      <c r="CD28">
        <f>IF(AND($B28=1,V28&lt;&gt;"",NOT(ISNUMBER(FIND("*",V28)))),20,999999)</f>
        <v/>
      </c>
      <c r="CE28">
        <f>IF(MIN(AQ28:BJ28)&gt;=999999999,0,MATCH(MIN(AQ28:BJ28),AQ28:BJ28,0))</f>
        <v/>
      </c>
      <c r="CF28">
        <f>IF($CE28=1,999999999,W28)</f>
        <v/>
      </c>
      <c r="CG28">
        <f>IF($CE28=2,999999999,X28)</f>
        <v/>
      </c>
      <c r="CH28">
        <f>IF($CE28=3,999999999,Y28)</f>
        <v/>
      </c>
      <c r="CI28">
        <f>IF($CE28=4,999999999,Z28)</f>
        <v/>
      </c>
      <c r="CJ28">
        <f>IF($CE28=5,999999999,AA28)</f>
        <v/>
      </c>
      <c r="CK28">
        <f>IF($CE28=6,999999999,AB28)</f>
        <v/>
      </c>
      <c r="CL28">
        <f>IF($CE28=7,999999999,AC28)</f>
        <v/>
      </c>
      <c r="CM28">
        <f>IF($CE28=8,999999999,AD28)</f>
        <v/>
      </c>
      <c r="CN28">
        <f>IF($CE28=9,999999999,AE28)</f>
        <v/>
      </c>
      <c r="CO28">
        <f>IF($CE28=10,999999999,AF28)</f>
        <v/>
      </c>
      <c r="CP28">
        <f>IF($CE28=11,999999999,AG28)</f>
        <v/>
      </c>
      <c r="CQ28">
        <f>IF($CE28=12,999999999,AH28)</f>
        <v/>
      </c>
      <c r="CR28">
        <f>IF($CE28=13,999999999,AI28)</f>
        <v/>
      </c>
      <c r="CS28">
        <f>IF($CE28=14,999999999,AJ28)</f>
        <v/>
      </c>
      <c r="CT28">
        <f>IF($CE28=15,999999999,AK28)</f>
        <v/>
      </c>
      <c r="CU28">
        <f>IF($CE28=16,999999999,AL28)</f>
        <v/>
      </c>
      <c r="CV28">
        <f>IF($CE28=17,999999999,AM28)</f>
        <v/>
      </c>
      <c r="CW28">
        <f>IF($CE28=18,999999999,AN28)</f>
        <v/>
      </c>
      <c r="CX28">
        <f>IF($CE28=19,999999999,AO28)</f>
        <v/>
      </c>
      <c r="CY28">
        <f>IF($CE28=20,999999999,AP28)</f>
        <v/>
      </c>
      <c r="CZ28">
        <f>COUNTIF(W28:AP28,"&lt;999999999")</f>
        <v/>
      </c>
      <c r="DA28">
        <f>COUNTIF(BK28:CD28,"&lt;999999")</f>
        <v/>
      </c>
      <c r="DB28">
        <f>$CZ28-IF($CE28&gt;0,1,0)</f>
        <v/>
      </c>
      <c r="DC28">
        <f>IF(OR($B28=0,C28=""),0,DC27+1)</f>
        <v/>
      </c>
      <c r="DD28">
        <f>IF(OR($B28=0,D28=""),0,DD27+1)</f>
        <v/>
      </c>
      <c r="DE28">
        <f>IF(OR($B28=0,E28=""),0,DE27+1)</f>
        <v/>
      </c>
      <c r="DF28">
        <f>IF(OR($B28=0,F28=""),0,DF27+1)</f>
        <v/>
      </c>
      <c r="DG28">
        <f>IF(OR($B28=0,G28=""),0,DG27+1)</f>
        <v/>
      </c>
      <c r="DH28">
        <f>IF(OR($B28=0,H28=""),0,DH27+1)</f>
        <v/>
      </c>
      <c r="DI28">
        <f>IF(OR($B28=0,I28=""),0,DI27+1)</f>
        <v/>
      </c>
      <c r="DJ28">
        <f>IF(OR($B28=0,J28=""),0,DJ27+1)</f>
        <v/>
      </c>
      <c r="DK28">
        <f>IF(OR($B28=0,K28=""),0,DK27+1)</f>
        <v/>
      </c>
      <c r="DL28">
        <f>IF(OR($B28=0,L28=""),0,DL27+1)</f>
        <v/>
      </c>
      <c r="DM28">
        <f>IF(OR($B28=0,M28=""),0,DM27+1)</f>
        <v/>
      </c>
      <c r="DN28">
        <f>IF(OR($B28=0,N28=""),0,DN27+1)</f>
        <v/>
      </c>
      <c r="DO28">
        <f>IF(OR($B28=0,O28=""),0,DO27+1)</f>
        <v/>
      </c>
      <c r="DP28">
        <f>IF(OR($B28=0,P28=""),0,DP27+1)</f>
        <v/>
      </c>
      <c r="DQ28">
        <f>IF(OR($B28=0,Q28=""),0,DQ27+1)</f>
        <v/>
      </c>
      <c r="DR28">
        <f>IF(OR($B28=0,R28=""),0,DR27+1)</f>
        <v/>
      </c>
      <c r="DS28">
        <f>IF(OR($B28=0,S28=""),0,DS27+1)</f>
        <v/>
      </c>
      <c r="DT28">
        <f>IF(OR($B28=0,T28=""),0,DT27+1)</f>
        <v/>
      </c>
      <c r="DU28">
        <f>IF(OR($B28=0,U28=""),0,DU27+1)</f>
        <v/>
      </c>
      <c r="DV28">
        <f>IF(OR($B28=0,V28=""),0,DV27+1)</f>
        <v/>
      </c>
      <c r="DW28">
        <f>'ตารางเวร'!AB$7</f>
        <v/>
      </c>
      <c r="DX28">
        <f>IF($B28=0,0,IF(WEEKDAY('ตารางเวร'!AB$6,2)=IFERROR(MATCH('ตารางเวร'!$AM$11,'ตารางเวร'!$AO$10:$AO$17,0),0),1,0))</f>
        <v/>
      </c>
    </row>
    <row r="29">
      <c r="A29" t="n">
        <v>27</v>
      </c>
      <c r="B29">
        <f>IF(27&gt;DAY(EOMONTH(DATE('ตารางเวร'!$B$3-543,'ตารางเวร'!$B$2,1),0)),0,1)</f>
        <v/>
      </c>
      <c r="C29">
        <f>IF($B29=0,"",IFERROR(TRIM(INDEX('ตารางเวร'!$C$10:$AG$29,1,$A29)),""))</f>
        <v/>
      </c>
      <c r="D29">
        <f>IF($B29=0,"",IFERROR(TRIM(INDEX('ตารางเวร'!$C$10:$AG$29,2,$A29)),""))</f>
        <v/>
      </c>
      <c r="E29">
        <f>IF($B29=0,"",IFERROR(TRIM(INDEX('ตารางเวร'!$C$10:$AG$29,3,$A29)),""))</f>
        <v/>
      </c>
      <c r="F29">
        <f>IF($B29=0,"",IFERROR(TRIM(INDEX('ตารางเวร'!$C$10:$AG$29,4,$A29)),""))</f>
        <v/>
      </c>
      <c r="G29">
        <f>IF($B29=0,"",IFERROR(TRIM(INDEX('ตารางเวร'!$C$10:$AG$29,5,$A29)),""))</f>
        <v/>
      </c>
      <c r="H29">
        <f>IF($B29=0,"",IFERROR(TRIM(INDEX('ตารางเวร'!$C$10:$AG$29,6,$A29)),""))</f>
        <v/>
      </c>
      <c r="I29">
        <f>IF($B29=0,"",IFERROR(TRIM(INDEX('ตารางเวร'!$C$10:$AG$29,7,$A29)),""))</f>
        <v/>
      </c>
      <c r="J29">
        <f>IF($B29=0,"",IFERROR(TRIM(INDEX('ตารางเวร'!$C$10:$AG$29,8,$A29)),""))</f>
        <v/>
      </c>
      <c r="K29">
        <f>IF($B29=0,"",IFERROR(TRIM(INDEX('ตารางเวร'!$C$10:$AG$29,9,$A29)),""))</f>
        <v/>
      </c>
      <c r="L29">
        <f>IF($B29=0,"",IFERROR(TRIM(INDEX('ตารางเวร'!$C$10:$AG$29,10,$A29)),""))</f>
        <v/>
      </c>
      <c r="M29">
        <f>IF($B29=0,"",IFERROR(TRIM(INDEX('ตารางเวร'!$C$10:$AG$29,11,$A29)),""))</f>
        <v/>
      </c>
      <c r="N29">
        <f>IF($B29=0,"",IFERROR(TRIM(INDEX('ตารางเวร'!$C$10:$AG$29,12,$A29)),""))</f>
        <v/>
      </c>
      <c r="O29">
        <f>IF($B29=0,"",IFERROR(TRIM(INDEX('ตารางเวร'!$C$10:$AG$29,13,$A29)),""))</f>
        <v/>
      </c>
      <c r="P29">
        <f>IF($B29=0,"",IFERROR(TRIM(INDEX('ตารางเวร'!$C$10:$AG$29,14,$A29)),""))</f>
        <v/>
      </c>
      <c r="Q29">
        <f>IF($B29=0,"",IFERROR(TRIM(INDEX('ตารางเวร'!$C$10:$AG$29,15,$A29)),""))</f>
        <v/>
      </c>
      <c r="R29">
        <f>IF($B29=0,"",IFERROR(TRIM(INDEX('ตารางเวร'!$C$10:$AG$29,16,$A29)),""))</f>
        <v/>
      </c>
      <c r="S29">
        <f>IF($B29=0,"",IFERROR(TRIM(INDEX('ตารางเวร'!$C$10:$AG$29,17,$A29)),""))</f>
        <v/>
      </c>
      <c r="T29">
        <f>IF($B29=0,"",IFERROR(TRIM(INDEX('ตารางเวร'!$C$10:$AG$29,18,$A29)),""))</f>
        <v/>
      </c>
      <c r="U29">
        <f>IF($B29=0,"",IFERROR(TRIM(INDEX('ตารางเวร'!$C$10:$AG$29,19,$A29)),""))</f>
        <v/>
      </c>
      <c r="V29">
        <f>IF($B29=0,"",IFERROR(TRIM(INDEX('ตารางเวร'!$C$10:$AG$29,20,$A29)),""))</f>
        <v/>
      </c>
      <c r="W29">
        <f>IF(AND($B29=1,C29&lt;&gt;"",ISNUMBER(FIND("*",C29))),MOD((MOD('ตารางเวร'!$B$4,9973)*7919+$A29*40289)*(1*104729+7919),99991)*100+1,999999999)</f>
        <v/>
      </c>
      <c r="X29">
        <f>IF(AND($B29=1,D29&lt;&gt;"",ISNUMBER(FIND("*",D29))),MOD((MOD('ตารางเวร'!$B$4,9973)*7919+$A29*40289)*(2*104729+7919),99991)*100+2,999999999)</f>
        <v/>
      </c>
      <c r="Y29">
        <f>IF(AND($B29=1,E29&lt;&gt;"",ISNUMBER(FIND("*",E29))),MOD((MOD('ตารางเวร'!$B$4,9973)*7919+$A29*40289)*(3*104729+7919),99991)*100+3,999999999)</f>
        <v/>
      </c>
      <c r="Z29">
        <f>IF(AND($B29=1,F29&lt;&gt;"",ISNUMBER(FIND("*",F29))),MOD((MOD('ตารางเวร'!$B$4,9973)*7919+$A29*40289)*(4*104729+7919),99991)*100+4,999999999)</f>
        <v/>
      </c>
      <c r="AA29">
        <f>IF(AND($B29=1,G29&lt;&gt;"",ISNUMBER(FIND("*",G29))),MOD((MOD('ตารางเวร'!$B$4,9973)*7919+$A29*40289)*(5*104729+7919),99991)*100+5,999999999)</f>
        <v/>
      </c>
      <c r="AB29">
        <f>IF(AND($B29=1,H29&lt;&gt;"",ISNUMBER(FIND("*",H29))),MOD((MOD('ตารางเวร'!$B$4,9973)*7919+$A29*40289)*(6*104729+7919),99991)*100+6,999999999)</f>
        <v/>
      </c>
      <c r="AC29">
        <f>IF(AND($B29=1,I29&lt;&gt;"",ISNUMBER(FIND("*",I29))),MOD((MOD('ตารางเวร'!$B$4,9973)*7919+$A29*40289)*(7*104729+7919),99991)*100+7,999999999)</f>
        <v/>
      </c>
      <c r="AD29">
        <f>IF(AND($B29=1,J29&lt;&gt;"",ISNUMBER(FIND("*",J29))),MOD((MOD('ตารางเวร'!$B$4,9973)*7919+$A29*40289)*(8*104729+7919),99991)*100+8,999999999)</f>
        <v/>
      </c>
      <c r="AE29">
        <f>IF(AND($B29=1,K29&lt;&gt;"",ISNUMBER(FIND("*",K29))),MOD((MOD('ตารางเวร'!$B$4,9973)*7919+$A29*40289)*(9*104729+7919),99991)*100+9,999999999)</f>
        <v/>
      </c>
      <c r="AF29">
        <f>IF(AND($B29=1,L29&lt;&gt;"",ISNUMBER(FIND("*",L29))),MOD((MOD('ตารางเวร'!$B$4,9973)*7919+$A29*40289)*(10*104729+7919),99991)*100+10,999999999)</f>
        <v/>
      </c>
      <c r="AG29">
        <f>IF(AND($B29=1,M29&lt;&gt;"",ISNUMBER(FIND("*",M29))),MOD((MOD('ตารางเวร'!$B$4,9973)*7919+$A29*40289)*(11*104729+7919),99991)*100+11,999999999)</f>
        <v/>
      </c>
      <c r="AH29">
        <f>IF(AND($B29=1,N29&lt;&gt;"",ISNUMBER(FIND("*",N29))),MOD((MOD('ตารางเวร'!$B$4,9973)*7919+$A29*40289)*(12*104729+7919),99991)*100+12,999999999)</f>
        <v/>
      </c>
      <c r="AI29">
        <f>IF(AND($B29=1,O29&lt;&gt;"",ISNUMBER(FIND("*",O29))),MOD((MOD('ตารางเวร'!$B$4,9973)*7919+$A29*40289)*(13*104729+7919),99991)*100+13,999999999)</f>
        <v/>
      </c>
      <c r="AJ29">
        <f>IF(AND($B29=1,P29&lt;&gt;"",ISNUMBER(FIND("*",P29))),MOD((MOD('ตารางเวร'!$B$4,9973)*7919+$A29*40289)*(14*104729+7919),99991)*100+14,999999999)</f>
        <v/>
      </c>
      <c r="AK29">
        <f>IF(AND($B29=1,Q29&lt;&gt;"",ISNUMBER(FIND("*",Q29))),MOD((MOD('ตารางเวร'!$B$4,9973)*7919+$A29*40289)*(15*104729+7919),99991)*100+15,999999999)</f>
        <v/>
      </c>
      <c r="AL29">
        <f>IF(AND($B29=1,R29&lt;&gt;"",ISNUMBER(FIND("*",R29))),MOD((MOD('ตารางเวร'!$B$4,9973)*7919+$A29*40289)*(16*104729+7919),99991)*100+16,999999999)</f>
        <v/>
      </c>
      <c r="AM29">
        <f>IF(AND($B29=1,S29&lt;&gt;"",ISNUMBER(FIND("*",S29))),MOD((MOD('ตารางเวร'!$B$4,9973)*7919+$A29*40289)*(17*104729+7919),99991)*100+17,999999999)</f>
        <v/>
      </c>
      <c r="AN29">
        <f>IF(AND($B29=1,T29&lt;&gt;"",ISNUMBER(FIND("*",T29))),MOD((MOD('ตารางเวร'!$B$4,9973)*7919+$A29*40289)*(18*104729+7919),99991)*100+18,999999999)</f>
        <v/>
      </c>
      <c r="AO29">
        <f>IF(AND($B29=1,U29&lt;&gt;"",ISNUMBER(FIND("*",U29))),MOD((MOD('ตารางเวร'!$B$4,9973)*7919+$A29*40289)*(19*104729+7919),99991)*100+19,999999999)</f>
        <v/>
      </c>
      <c r="AP29">
        <f>IF(AND($B29=1,V29&lt;&gt;"",ISNUMBER(FIND("*",V29))),MOD((MOD('ตารางเวร'!$B$4,9973)*7919+$A29*40289)*(20*104729+7919),99991)*100+20,999999999)</f>
        <v/>
      </c>
      <c r="AQ29">
        <f>IF(TRIM('ตารางเวร'!$B$10)&lt;&gt;"",999999999,W29)</f>
        <v/>
      </c>
      <c r="AR29">
        <f>IF(TRIM('ตารางเวร'!$B$11)&lt;&gt;"",999999999,X29)</f>
        <v/>
      </c>
      <c r="AS29">
        <f>IF(TRIM('ตารางเวร'!$B$12)&lt;&gt;"",999999999,Y29)</f>
        <v/>
      </c>
      <c r="AT29">
        <f>IF(TRIM('ตารางเวร'!$B$13)&lt;&gt;"",999999999,Z29)</f>
        <v/>
      </c>
      <c r="AU29">
        <f>IF(TRIM('ตารางเวร'!$B$14)&lt;&gt;"",999999999,AA29)</f>
        <v/>
      </c>
      <c r="AV29">
        <f>IF(TRIM('ตารางเวร'!$B$15)&lt;&gt;"",999999999,AB29)</f>
        <v/>
      </c>
      <c r="AW29">
        <f>IF(TRIM('ตารางเวร'!$B$16)&lt;&gt;"",999999999,AC29)</f>
        <v/>
      </c>
      <c r="AX29">
        <f>IF(TRIM('ตารางเวร'!$B$17)&lt;&gt;"",999999999,AD29)</f>
        <v/>
      </c>
      <c r="AY29">
        <f>IF(TRIM('ตารางเวร'!$B$18)&lt;&gt;"",999999999,AE29)</f>
        <v/>
      </c>
      <c r="AZ29">
        <f>IF(TRIM('ตารางเวร'!$B$19)&lt;&gt;"",999999999,AF29)</f>
        <v/>
      </c>
      <c r="BA29">
        <f>IF(TRIM('ตารางเวร'!$B$20)&lt;&gt;"",999999999,AG29)</f>
        <v/>
      </c>
      <c r="BB29">
        <f>IF(TRIM('ตารางเวร'!$B$21)&lt;&gt;"",999999999,AH29)</f>
        <v/>
      </c>
      <c r="BC29">
        <f>IF(TRIM('ตารางเวร'!$B$22)&lt;&gt;"",999999999,AI29)</f>
        <v/>
      </c>
      <c r="BD29">
        <f>IF(TRIM('ตารางเวร'!$B$23)&lt;&gt;"",999999999,AJ29)</f>
        <v/>
      </c>
      <c r="BE29">
        <f>IF(TRIM('ตารางเวร'!$B$24)&lt;&gt;"",999999999,AK29)</f>
        <v/>
      </c>
      <c r="BF29">
        <f>IF(TRIM('ตารางเวร'!$B$25)&lt;&gt;"",999999999,AL29)</f>
        <v/>
      </c>
      <c r="BG29">
        <f>IF(TRIM('ตารางเวร'!$B$26)&lt;&gt;"",999999999,AM29)</f>
        <v/>
      </c>
      <c r="BH29">
        <f>IF(TRIM('ตารางเวร'!$B$27)&lt;&gt;"",999999999,AN29)</f>
        <v/>
      </c>
      <c r="BI29">
        <f>IF(TRIM('ตารางเวร'!$B$28)&lt;&gt;"",999999999,AO29)</f>
        <v/>
      </c>
      <c r="BJ29">
        <f>IF(TRIM('ตารางเวร'!$B$29)&lt;&gt;"",999999999,AP29)</f>
        <v/>
      </c>
      <c r="BK29">
        <f>IF(AND($B29=1,C29&lt;&gt;"",NOT(ISNUMBER(FIND("*",C29)))),1,999999)</f>
        <v/>
      </c>
      <c r="BL29">
        <f>IF(AND($B29=1,D29&lt;&gt;"",NOT(ISNUMBER(FIND("*",D29)))),2,999999)</f>
        <v/>
      </c>
      <c r="BM29">
        <f>IF(AND($B29=1,E29&lt;&gt;"",NOT(ISNUMBER(FIND("*",E29)))),3,999999)</f>
        <v/>
      </c>
      <c r="BN29">
        <f>IF(AND($B29=1,F29&lt;&gt;"",NOT(ISNUMBER(FIND("*",F29)))),4,999999)</f>
        <v/>
      </c>
      <c r="BO29">
        <f>IF(AND($B29=1,G29&lt;&gt;"",NOT(ISNUMBER(FIND("*",G29)))),5,999999)</f>
        <v/>
      </c>
      <c r="BP29">
        <f>IF(AND($B29=1,H29&lt;&gt;"",NOT(ISNUMBER(FIND("*",H29)))),6,999999)</f>
        <v/>
      </c>
      <c r="BQ29">
        <f>IF(AND($B29=1,I29&lt;&gt;"",NOT(ISNUMBER(FIND("*",I29)))),7,999999)</f>
        <v/>
      </c>
      <c r="BR29">
        <f>IF(AND($B29=1,J29&lt;&gt;"",NOT(ISNUMBER(FIND("*",J29)))),8,999999)</f>
        <v/>
      </c>
      <c r="BS29">
        <f>IF(AND($B29=1,K29&lt;&gt;"",NOT(ISNUMBER(FIND("*",K29)))),9,999999)</f>
        <v/>
      </c>
      <c r="BT29">
        <f>IF(AND($B29=1,L29&lt;&gt;"",NOT(ISNUMBER(FIND("*",L29)))),10,999999)</f>
        <v/>
      </c>
      <c r="BU29">
        <f>IF(AND($B29=1,M29&lt;&gt;"",NOT(ISNUMBER(FIND("*",M29)))),11,999999)</f>
        <v/>
      </c>
      <c r="BV29">
        <f>IF(AND($B29=1,N29&lt;&gt;"",NOT(ISNUMBER(FIND("*",N29)))),12,999999)</f>
        <v/>
      </c>
      <c r="BW29">
        <f>IF(AND($B29=1,O29&lt;&gt;"",NOT(ISNUMBER(FIND("*",O29)))),13,999999)</f>
        <v/>
      </c>
      <c r="BX29">
        <f>IF(AND($B29=1,P29&lt;&gt;"",NOT(ISNUMBER(FIND("*",P29)))),14,999999)</f>
        <v/>
      </c>
      <c r="BY29">
        <f>IF(AND($B29=1,Q29&lt;&gt;"",NOT(ISNUMBER(FIND("*",Q29)))),15,999999)</f>
        <v/>
      </c>
      <c r="BZ29">
        <f>IF(AND($B29=1,R29&lt;&gt;"",NOT(ISNUMBER(FIND("*",R29)))),16,999999)</f>
        <v/>
      </c>
      <c r="CA29">
        <f>IF(AND($B29=1,S29&lt;&gt;"",NOT(ISNUMBER(FIND("*",S29)))),17,999999)</f>
        <v/>
      </c>
      <c r="CB29">
        <f>IF(AND($B29=1,T29&lt;&gt;"",NOT(ISNUMBER(FIND("*",T29)))),18,999999)</f>
        <v/>
      </c>
      <c r="CC29">
        <f>IF(AND($B29=1,U29&lt;&gt;"",NOT(ISNUMBER(FIND("*",U29)))),19,999999)</f>
        <v/>
      </c>
      <c r="CD29">
        <f>IF(AND($B29=1,V29&lt;&gt;"",NOT(ISNUMBER(FIND("*",V29)))),20,999999)</f>
        <v/>
      </c>
      <c r="CE29">
        <f>IF(MIN(AQ29:BJ29)&gt;=999999999,0,MATCH(MIN(AQ29:BJ29),AQ29:BJ29,0))</f>
        <v/>
      </c>
      <c r="CF29">
        <f>IF($CE29=1,999999999,W29)</f>
        <v/>
      </c>
      <c r="CG29">
        <f>IF($CE29=2,999999999,X29)</f>
        <v/>
      </c>
      <c r="CH29">
        <f>IF($CE29=3,999999999,Y29)</f>
        <v/>
      </c>
      <c r="CI29">
        <f>IF($CE29=4,999999999,Z29)</f>
        <v/>
      </c>
      <c r="CJ29">
        <f>IF($CE29=5,999999999,AA29)</f>
        <v/>
      </c>
      <c r="CK29">
        <f>IF($CE29=6,999999999,AB29)</f>
        <v/>
      </c>
      <c r="CL29">
        <f>IF($CE29=7,999999999,AC29)</f>
        <v/>
      </c>
      <c r="CM29">
        <f>IF($CE29=8,999999999,AD29)</f>
        <v/>
      </c>
      <c r="CN29">
        <f>IF($CE29=9,999999999,AE29)</f>
        <v/>
      </c>
      <c r="CO29">
        <f>IF($CE29=10,999999999,AF29)</f>
        <v/>
      </c>
      <c r="CP29">
        <f>IF($CE29=11,999999999,AG29)</f>
        <v/>
      </c>
      <c r="CQ29">
        <f>IF($CE29=12,999999999,AH29)</f>
        <v/>
      </c>
      <c r="CR29">
        <f>IF($CE29=13,999999999,AI29)</f>
        <v/>
      </c>
      <c r="CS29">
        <f>IF($CE29=14,999999999,AJ29)</f>
        <v/>
      </c>
      <c r="CT29">
        <f>IF($CE29=15,999999999,AK29)</f>
        <v/>
      </c>
      <c r="CU29">
        <f>IF($CE29=16,999999999,AL29)</f>
        <v/>
      </c>
      <c r="CV29">
        <f>IF($CE29=17,999999999,AM29)</f>
        <v/>
      </c>
      <c r="CW29">
        <f>IF($CE29=18,999999999,AN29)</f>
        <v/>
      </c>
      <c r="CX29">
        <f>IF($CE29=19,999999999,AO29)</f>
        <v/>
      </c>
      <c r="CY29">
        <f>IF($CE29=20,999999999,AP29)</f>
        <v/>
      </c>
      <c r="CZ29">
        <f>COUNTIF(W29:AP29,"&lt;999999999")</f>
        <v/>
      </c>
      <c r="DA29">
        <f>COUNTIF(BK29:CD29,"&lt;999999")</f>
        <v/>
      </c>
      <c r="DB29">
        <f>$CZ29-IF($CE29&gt;0,1,0)</f>
        <v/>
      </c>
      <c r="DC29">
        <f>IF(OR($B29=0,C29=""),0,DC28+1)</f>
        <v/>
      </c>
      <c r="DD29">
        <f>IF(OR($B29=0,D29=""),0,DD28+1)</f>
        <v/>
      </c>
      <c r="DE29">
        <f>IF(OR($B29=0,E29=""),0,DE28+1)</f>
        <v/>
      </c>
      <c r="DF29">
        <f>IF(OR($B29=0,F29=""),0,DF28+1)</f>
        <v/>
      </c>
      <c r="DG29">
        <f>IF(OR($B29=0,G29=""),0,DG28+1)</f>
        <v/>
      </c>
      <c r="DH29">
        <f>IF(OR($B29=0,H29=""),0,DH28+1)</f>
        <v/>
      </c>
      <c r="DI29">
        <f>IF(OR($B29=0,I29=""),0,DI28+1)</f>
        <v/>
      </c>
      <c r="DJ29">
        <f>IF(OR($B29=0,J29=""),0,DJ28+1)</f>
        <v/>
      </c>
      <c r="DK29">
        <f>IF(OR($B29=0,K29=""),0,DK28+1)</f>
        <v/>
      </c>
      <c r="DL29">
        <f>IF(OR($B29=0,L29=""),0,DL28+1)</f>
        <v/>
      </c>
      <c r="DM29">
        <f>IF(OR($B29=0,M29=""),0,DM28+1)</f>
        <v/>
      </c>
      <c r="DN29">
        <f>IF(OR($B29=0,N29=""),0,DN28+1)</f>
        <v/>
      </c>
      <c r="DO29">
        <f>IF(OR($B29=0,O29=""),0,DO28+1)</f>
        <v/>
      </c>
      <c r="DP29">
        <f>IF(OR($B29=0,P29=""),0,DP28+1)</f>
        <v/>
      </c>
      <c r="DQ29">
        <f>IF(OR($B29=0,Q29=""),0,DQ28+1)</f>
        <v/>
      </c>
      <c r="DR29">
        <f>IF(OR($B29=0,R29=""),0,DR28+1)</f>
        <v/>
      </c>
      <c r="DS29">
        <f>IF(OR($B29=0,S29=""),0,DS28+1)</f>
        <v/>
      </c>
      <c r="DT29">
        <f>IF(OR($B29=0,T29=""),0,DT28+1)</f>
        <v/>
      </c>
      <c r="DU29">
        <f>IF(OR($B29=0,U29=""),0,DU28+1)</f>
        <v/>
      </c>
      <c r="DV29">
        <f>IF(OR($B29=0,V29=""),0,DV28+1)</f>
        <v/>
      </c>
      <c r="DW29">
        <f>'ตารางเวร'!AC$7</f>
        <v/>
      </c>
      <c r="DX29">
        <f>IF($B29=0,0,IF(WEEKDAY('ตารางเวร'!AC$6,2)=IFERROR(MATCH('ตารางเวร'!$AM$11,'ตารางเวร'!$AO$10:$AO$17,0),0),1,0))</f>
        <v/>
      </c>
    </row>
    <row r="30">
      <c r="A30" t="n">
        <v>28</v>
      </c>
      <c r="B30">
        <f>IF(28&gt;DAY(EOMONTH(DATE('ตารางเวร'!$B$3-543,'ตารางเวร'!$B$2,1),0)),0,1)</f>
        <v/>
      </c>
      <c r="C30">
        <f>IF($B30=0,"",IFERROR(TRIM(INDEX('ตารางเวร'!$C$10:$AG$29,1,$A30)),""))</f>
        <v/>
      </c>
      <c r="D30">
        <f>IF($B30=0,"",IFERROR(TRIM(INDEX('ตารางเวร'!$C$10:$AG$29,2,$A30)),""))</f>
        <v/>
      </c>
      <c r="E30">
        <f>IF($B30=0,"",IFERROR(TRIM(INDEX('ตารางเวร'!$C$10:$AG$29,3,$A30)),""))</f>
        <v/>
      </c>
      <c r="F30">
        <f>IF($B30=0,"",IFERROR(TRIM(INDEX('ตารางเวร'!$C$10:$AG$29,4,$A30)),""))</f>
        <v/>
      </c>
      <c r="G30">
        <f>IF($B30=0,"",IFERROR(TRIM(INDEX('ตารางเวร'!$C$10:$AG$29,5,$A30)),""))</f>
        <v/>
      </c>
      <c r="H30">
        <f>IF($B30=0,"",IFERROR(TRIM(INDEX('ตารางเวร'!$C$10:$AG$29,6,$A30)),""))</f>
        <v/>
      </c>
      <c r="I30">
        <f>IF($B30=0,"",IFERROR(TRIM(INDEX('ตารางเวร'!$C$10:$AG$29,7,$A30)),""))</f>
        <v/>
      </c>
      <c r="J30">
        <f>IF($B30=0,"",IFERROR(TRIM(INDEX('ตารางเวร'!$C$10:$AG$29,8,$A30)),""))</f>
        <v/>
      </c>
      <c r="K30">
        <f>IF($B30=0,"",IFERROR(TRIM(INDEX('ตารางเวร'!$C$10:$AG$29,9,$A30)),""))</f>
        <v/>
      </c>
      <c r="L30">
        <f>IF($B30=0,"",IFERROR(TRIM(INDEX('ตารางเวร'!$C$10:$AG$29,10,$A30)),""))</f>
        <v/>
      </c>
      <c r="M30">
        <f>IF($B30=0,"",IFERROR(TRIM(INDEX('ตารางเวร'!$C$10:$AG$29,11,$A30)),""))</f>
        <v/>
      </c>
      <c r="N30">
        <f>IF($B30=0,"",IFERROR(TRIM(INDEX('ตารางเวร'!$C$10:$AG$29,12,$A30)),""))</f>
        <v/>
      </c>
      <c r="O30">
        <f>IF($B30=0,"",IFERROR(TRIM(INDEX('ตารางเวร'!$C$10:$AG$29,13,$A30)),""))</f>
        <v/>
      </c>
      <c r="P30">
        <f>IF($B30=0,"",IFERROR(TRIM(INDEX('ตารางเวร'!$C$10:$AG$29,14,$A30)),""))</f>
        <v/>
      </c>
      <c r="Q30">
        <f>IF($B30=0,"",IFERROR(TRIM(INDEX('ตารางเวร'!$C$10:$AG$29,15,$A30)),""))</f>
        <v/>
      </c>
      <c r="R30">
        <f>IF($B30=0,"",IFERROR(TRIM(INDEX('ตารางเวร'!$C$10:$AG$29,16,$A30)),""))</f>
        <v/>
      </c>
      <c r="S30">
        <f>IF($B30=0,"",IFERROR(TRIM(INDEX('ตารางเวร'!$C$10:$AG$29,17,$A30)),""))</f>
        <v/>
      </c>
      <c r="T30">
        <f>IF($B30=0,"",IFERROR(TRIM(INDEX('ตารางเวร'!$C$10:$AG$29,18,$A30)),""))</f>
        <v/>
      </c>
      <c r="U30">
        <f>IF($B30=0,"",IFERROR(TRIM(INDEX('ตารางเวร'!$C$10:$AG$29,19,$A30)),""))</f>
        <v/>
      </c>
      <c r="V30">
        <f>IF($B30=0,"",IFERROR(TRIM(INDEX('ตารางเวร'!$C$10:$AG$29,20,$A30)),""))</f>
        <v/>
      </c>
      <c r="W30">
        <f>IF(AND($B30=1,C30&lt;&gt;"",ISNUMBER(FIND("*",C30))),MOD((MOD('ตารางเวร'!$B$4,9973)*7919+$A30*40289)*(1*104729+7919),99991)*100+1,999999999)</f>
        <v/>
      </c>
      <c r="X30">
        <f>IF(AND($B30=1,D30&lt;&gt;"",ISNUMBER(FIND("*",D30))),MOD((MOD('ตารางเวร'!$B$4,9973)*7919+$A30*40289)*(2*104729+7919),99991)*100+2,999999999)</f>
        <v/>
      </c>
      <c r="Y30">
        <f>IF(AND($B30=1,E30&lt;&gt;"",ISNUMBER(FIND("*",E30))),MOD((MOD('ตารางเวร'!$B$4,9973)*7919+$A30*40289)*(3*104729+7919),99991)*100+3,999999999)</f>
        <v/>
      </c>
      <c r="Z30">
        <f>IF(AND($B30=1,F30&lt;&gt;"",ISNUMBER(FIND("*",F30))),MOD((MOD('ตารางเวร'!$B$4,9973)*7919+$A30*40289)*(4*104729+7919),99991)*100+4,999999999)</f>
        <v/>
      </c>
      <c r="AA30">
        <f>IF(AND($B30=1,G30&lt;&gt;"",ISNUMBER(FIND("*",G30))),MOD((MOD('ตารางเวร'!$B$4,9973)*7919+$A30*40289)*(5*104729+7919),99991)*100+5,999999999)</f>
        <v/>
      </c>
      <c r="AB30">
        <f>IF(AND($B30=1,H30&lt;&gt;"",ISNUMBER(FIND("*",H30))),MOD((MOD('ตารางเวร'!$B$4,9973)*7919+$A30*40289)*(6*104729+7919),99991)*100+6,999999999)</f>
        <v/>
      </c>
      <c r="AC30">
        <f>IF(AND($B30=1,I30&lt;&gt;"",ISNUMBER(FIND("*",I30))),MOD((MOD('ตารางเวร'!$B$4,9973)*7919+$A30*40289)*(7*104729+7919),99991)*100+7,999999999)</f>
        <v/>
      </c>
      <c r="AD30">
        <f>IF(AND($B30=1,J30&lt;&gt;"",ISNUMBER(FIND("*",J30))),MOD((MOD('ตารางเวร'!$B$4,9973)*7919+$A30*40289)*(8*104729+7919),99991)*100+8,999999999)</f>
        <v/>
      </c>
      <c r="AE30">
        <f>IF(AND($B30=1,K30&lt;&gt;"",ISNUMBER(FIND("*",K30))),MOD((MOD('ตารางเวร'!$B$4,9973)*7919+$A30*40289)*(9*104729+7919),99991)*100+9,999999999)</f>
        <v/>
      </c>
      <c r="AF30">
        <f>IF(AND($B30=1,L30&lt;&gt;"",ISNUMBER(FIND("*",L30))),MOD((MOD('ตารางเวร'!$B$4,9973)*7919+$A30*40289)*(10*104729+7919),99991)*100+10,999999999)</f>
        <v/>
      </c>
      <c r="AG30">
        <f>IF(AND($B30=1,M30&lt;&gt;"",ISNUMBER(FIND("*",M30))),MOD((MOD('ตารางเวร'!$B$4,9973)*7919+$A30*40289)*(11*104729+7919),99991)*100+11,999999999)</f>
        <v/>
      </c>
      <c r="AH30">
        <f>IF(AND($B30=1,N30&lt;&gt;"",ISNUMBER(FIND("*",N30))),MOD((MOD('ตารางเวร'!$B$4,9973)*7919+$A30*40289)*(12*104729+7919),99991)*100+12,999999999)</f>
        <v/>
      </c>
      <c r="AI30">
        <f>IF(AND($B30=1,O30&lt;&gt;"",ISNUMBER(FIND("*",O30))),MOD((MOD('ตารางเวร'!$B$4,9973)*7919+$A30*40289)*(13*104729+7919),99991)*100+13,999999999)</f>
        <v/>
      </c>
      <c r="AJ30">
        <f>IF(AND($B30=1,P30&lt;&gt;"",ISNUMBER(FIND("*",P30))),MOD((MOD('ตารางเวร'!$B$4,9973)*7919+$A30*40289)*(14*104729+7919),99991)*100+14,999999999)</f>
        <v/>
      </c>
      <c r="AK30">
        <f>IF(AND($B30=1,Q30&lt;&gt;"",ISNUMBER(FIND("*",Q30))),MOD((MOD('ตารางเวร'!$B$4,9973)*7919+$A30*40289)*(15*104729+7919),99991)*100+15,999999999)</f>
        <v/>
      </c>
      <c r="AL30">
        <f>IF(AND($B30=1,R30&lt;&gt;"",ISNUMBER(FIND("*",R30))),MOD((MOD('ตารางเวร'!$B$4,9973)*7919+$A30*40289)*(16*104729+7919),99991)*100+16,999999999)</f>
        <v/>
      </c>
      <c r="AM30">
        <f>IF(AND($B30=1,S30&lt;&gt;"",ISNUMBER(FIND("*",S30))),MOD((MOD('ตารางเวร'!$B$4,9973)*7919+$A30*40289)*(17*104729+7919),99991)*100+17,999999999)</f>
        <v/>
      </c>
      <c r="AN30">
        <f>IF(AND($B30=1,T30&lt;&gt;"",ISNUMBER(FIND("*",T30))),MOD((MOD('ตารางเวร'!$B$4,9973)*7919+$A30*40289)*(18*104729+7919),99991)*100+18,999999999)</f>
        <v/>
      </c>
      <c r="AO30">
        <f>IF(AND($B30=1,U30&lt;&gt;"",ISNUMBER(FIND("*",U30))),MOD((MOD('ตารางเวร'!$B$4,9973)*7919+$A30*40289)*(19*104729+7919),99991)*100+19,999999999)</f>
        <v/>
      </c>
      <c r="AP30">
        <f>IF(AND($B30=1,V30&lt;&gt;"",ISNUMBER(FIND("*",V30))),MOD((MOD('ตารางเวร'!$B$4,9973)*7919+$A30*40289)*(20*104729+7919),99991)*100+20,999999999)</f>
        <v/>
      </c>
      <c r="AQ30">
        <f>IF(TRIM('ตารางเวร'!$B$10)&lt;&gt;"",999999999,W30)</f>
        <v/>
      </c>
      <c r="AR30">
        <f>IF(TRIM('ตารางเวร'!$B$11)&lt;&gt;"",999999999,X30)</f>
        <v/>
      </c>
      <c r="AS30">
        <f>IF(TRIM('ตารางเวร'!$B$12)&lt;&gt;"",999999999,Y30)</f>
        <v/>
      </c>
      <c r="AT30">
        <f>IF(TRIM('ตารางเวร'!$B$13)&lt;&gt;"",999999999,Z30)</f>
        <v/>
      </c>
      <c r="AU30">
        <f>IF(TRIM('ตารางเวร'!$B$14)&lt;&gt;"",999999999,AA30)</f>
        <v/>
      </c>
      <c r="AV30">
        <f>IF(TRIM('ตารางเวร'!$B$15)&lt;&gt;"",999999999,AB30)</f>
        <v/>
      </c>
      <c r="AW30">
        <f>IF(TRIM('ตารางเวร'!$B$16)&lt;&gt;"",999999999,AC30)</f>
        <v/>
      </c>
      <c r="AX30">
        <f>IF(TRIM('ตารางเวร'!$B$17)&lt;&gt;"",999999999,AD30)</f>
        <v/>
      </c>
      <c r="AY30">
        <f>IF(TRIM('ตารางเวร'!$B$18)&lt;&gt;"",999999999,AE30)</f>
        <v/>
      </c>
      <c r="AZ30">
        <f>IF(TRIM('ตารางเวร'!$B$19)&lt;&gt;"",999999999,AF30)</f>
        <v/>
      </c>
      <c r="BA30">
        <f>IF(TRIM('ตารางเวร'!$B$20)&lt;&gt;"",999999999,AG30)</f>
        <v/>
      </c>
      <c r="BB30">
        <f>IF(TRIM('ตารางเวร'!$B$21)&lt;&gt;"",999999999,AH30)</f>
        <v/>
      </c>
      <c r="BC30">
        <f>IF(TRIM('ตารางเวร'!$B$22)&lt;&gt;"",999999999,AI30)</f>
        <v/>
      </c>
      <c r="BD30">
        <f>IF(TRIM('ตารางเวร'!$B$23)&lt;&gt;"",999999999,AJ30)</f>
        <v/>
      </c>
      <c r="BE30">
        <f>IF(TRIM('ตารางเวร'!$B$24)&lt;&gt;"",999999999,AK30)</f>
        <v/>
      </c>
      <c r="BF30">
        <f>IF(TRIM('ตารางเวร'!$B$25)&lt;&gt;"",999999999,AL30)</f>
        <v/>
      </c>
      <c r="BG30">
        <f>IF(TRIM('ตารางเวร'!$B$26)&lt;&gt;"",999999999,AM30)</f>
        <v/>
      </c>
      <c r="BH30">
        <f>IF(TRIM('ตารางเวร'!$B$27)&lt;&gt;"",999999999,AN30)</f>
        <v/>
      </c>
      <c r="BI30">
        <f>IF(TRIM('ตารางเวร'!$B$28)&lt;&gt;"",999999999,AO30)</f>
        <v/>
      </c>
      <c r="BJ30">
        <f>IF(TRIM('ตารางเวร'!$B$29)&lt;&gt;"",999999999,AP30)</f>
        <v/>
      </c>
      <c r="BK30">
        <f>IF(AND($B30=1,C30&lt;&gt;"",NOT(ISNUMBER(FIND("*",C30)))),1,999999)</f>
        <v/>
      </c>
      <c r="BL30">
        <f>IF(AND($B30=1,D30&lt;&gt;"",NOT(ISNUMBER(FIND("*",D30)))),2,999999)</f>
        <v/>
      </c>
      <c r="BM30">
        <f>IF(AND($B30=1,E30&lt;&gt;"",NOT(ISNUMBER(FIND("*",E30)))),3,999999)</f>
        <v/>
      </c>
      <c r="BN30">
        <f>IF(AND($B30=1,F30&lt;&gt;"",NOT(ISNUMBER(FIND("*",F30)))),4,999999)</f>
        <v/>
      </c>
      <c r="BO30">
        <f>IF(AND($B30=1,G30&lt;&gt;"",NOT(ISNUMBER(FIND("*",G30)))),5,999999)</f>
        <v/>
      </c>
      <c r="BP30">
        <f>IF(AND($B30=1,H30&lt;&gt;"",NOT(ISNUMBER(FIND("*",H30)))),6,999999)</f>
        <v/>
      </c>
      <c r="BQ30">
        <f>IF(AND($B30=1,I30&lt;&gt;"",NOT(ISNUMBER(FIND("*",I30)))),7,999999)</f>
        <v/>
      </c>
      <c r="BR30">
        <f>IF(AND($B30=1,J30&lt;&gt;"",NOT(ISNUMBER(FIND("*",J30)))),8,999999)</f>
        <v/>
      </c>
      <c r="BS30">
        <f>IF(AND($B30=1,K30&lt;&gt;"",NOT(ISNUMBER(FIND("*",K30)))),9,999999)</f>
        <v/>
      </c>
      <c r="BT30">
        <f>IF(AND($B30=1,L30&lt;&gt;"",NOT(ISNUMBER(FIND("*",L30)))),10,999999)</f>
        <v/>
      </c>
      <c r="BU30">
        <f>IF(AND($B30=1,M30&lt;&gt;"",NOT(ISNUMBER(FIND("*",M30)))),11,999999)</f>
        <v/>
      </c>
      <c r="BV30">
        <f>IF(AND($B30=1,N30&lt;&gt;"",NOT(ISNUMBER(FIND("*",N30)))),12,999999)</f>
        <v/>
      </c>
      <c r="BW30">
        <f>IF(AND($B30=1,O30&lt;&gt;"",NOT(ISNUMBER(FIND("*",O30)))),13,999999)</f>
        <v/>
      </c>
      <c r="BX30">
        <f>IF(AND($B30=1,P30&lt;&gt;"",NOT(ISNUMBER(FIND("*",P30)))),14,999999)</f>
        <v/>
      </c>
      <c r="BY30">
        <f>IF(AND($B30=1,Q30&lt;&gt;"",NOT(ISNUMBER(FIND("*",Q30)))),15,999999)</f>
        <v/>
      </c>
      <c r="BZ30">
        <f>IF(AND($B30=1,R30&lt;&gt;"",NOT(ISNUMBER(FIND("*",R30)))),16,999999)</f>
        <v/>
      </c>
      <c r="CA30">
        <f>IF(AND($B30=1,S30&lt;&gt;"",NOT(ISNUMBER(FIND("*",S30)))),17,999999)</f>
        <v/>
      </c>
      <c r="CB30">
        <f>IF(AND($B30=1,T30&lt;&gt;"",NOT(ISNUMBER(FIND("*",T30)))),18,999999)</f>
        <v/>
      </c>
      <c r="CC30">
        <f>IF(AND($B30=1,U30&lt;&gt;"",NOT(ISNUMBER(FIND("*",U30)))),19,999999)</f>
        <v/>
      </c>
      <c r="CD30">
        <f>IF(AND($B30=1,V30&lt;&gt;"",NOT(ISNUMBER(FIND("*",V30)))),20,999999)</f>
        <v/>
      </c>
      <c r="CE30">
        <f>IF(MIN(AQ30:BJ30)&gt;=999999999,0,MATCH(MIN(AQ30:BJ30),AQ30:BJ30,0))</f>
        <v/>
      </c>
      <c r="CF30">
        <f>IF($CE30=1,999999999,W30)</f>
        <v/>
      </c>
      <c r="CG30">
        <f>IF($CE30=2,999999999,X30)</f>
        <v/>
      </c>
      <c r="CH30">
        <f>IF($CE30=3,999999999,Y30)</f>
        <v/>
      </c>
      <c r="CI30">
        <f>IF($CE30=4,999999999,Z30)</f>
        <v/>
      </c>
      <c r="CJ30">
        <f>IF($CE30=5,999999999,AA30)</f>
        <v/>
      </c>
      <c r="CK30">
        <f>IF($CE30=6,999999999,AB30)</f>
        <v/>
      </c>
      <c r="CL30">
        <f>IF($CE30=7,999999999,AC30)</f>
        <v/>
      </c>
      <c r="CM30">
        <f>IF($CE30=8,999999999,AD30)</f>
        <v/>
      </c>
      <c r="CN30">
        <f>IF($CE30=9,999999999,AE30)</f>
        <v/>
      </c>
      <c r="CO30">
        <f>IF($CE30=10,999999999,AF30)</f>
        <v/>
      </c>
      <c r="CP30">
        <f>IF($CE30=11,999999999,AG30)</f>
        <v/>
      </c>
      <c r="CQ30">
        <f>IF($CE30=12,999999999,AH30)</f>
        <v/>
      </c>
      <c r="CR30">
        <f>IF($CE30=13,999999999,AI30)</f>
        <v/>
      </c>
      <c r="CS30">
        <f>IF($CE30=14,999999999,AJ30)</f>
        <v/>
      </c>
      <c r="CT30">
        <f>IF($CE30=15,999999999,AK30)</f>
        <v/>
      </c>
      <c r="CU30">
        <f>IF($CE30=16,999999999,AL30)</f>
        <v/>
      </c>
      <c r="CV30">
        <f>IF($CE30=17,999999999,AM30)</f>
        <v/>
      </c>
      <c r="CW30">
        <f>IF($CE30=18,999999999,AN30)</f>
        <v/>
      </c>
      <c r="CX30">
        <f>IF($CE30=19,999999999,AO30)</f>
        <v/>
      </c>
      <c r="CY30">
        <f>IF($CE30=20,999999999,AP30)</f>
        <v/>
      </c>
      <c r="CZ30">
        <f>COUNTIF(W30:AP30,"&lt;999999999")</f>
        <v/>
      </c>
      <c r="DA30">
        <f>COUNTIF(BK30:CD30,"&lt;999999")</f>
        <v/>
      </c>
      <c r="DB30">
        <f>$CZ30-IF($CE30&gt;0,1,0)</f>
        <v/>
      </c>
      <c r="DC30">
        <f>IF(OR($B30=0,C30=""),0,DC29+1)</f>
        <v/>
      </c>
      <c r="DD30">
        <f>IF(OR($B30=0,D30=""),0,DD29+1)</f>
        <v/>
      </c>
      <c r="DE30">
        <f>IF(OR($B30=0,E30=""),0,DE29+1)</f>
        <v/>
      </c>
      <c r="DF30">
        <f>IF(OR($B30=0,F30=""),0,DF29+1)</f>
        <v/>
      </c>
      <c r="DG30">
        <f>IF(OR($B30=0,G30=""),0,DG29+1)</f>
        <v/>
      </c>
      <c r="DH30">
        <f>IF(OR($B30=0,H30=""),0,DH29+1)</f>
        <v/>
      </c>
      <c r="DI30">
        <f>IF(OR($B30=0,I30=""),0,DI29+1)</f>
        <v/>
      </c>
      <c r="DJ30">
        <f>IF(OR($B30=0,J30=""),0,DJ29+1)</f>
        <v/>
      </c>
      <c r="DK30">
        <f>IF(OR($B30=0,K30=""),0,DK29+1)</f>
        <v/>
      </c>
      <c r="DL30">
        <f>IF(OR($B30=0,L30=""),0,DL29+1)</f>
        <v/>
      </c>
      <c r="DM30">
        <f>IF(OR($B30=0,M30=""),0,DM29+1)</f>
        <v/>
      </c>
      <c r="DN30">
        <f>IF(OR($B30=0,N30=""),0,DN29+1)</f>
        <v/>
      </c>
      <c r="DO30">
        <f>IF(OR($B30=0,O30=""),0,DO29+1)</f>
        <v/>
      </c>
      <c r="DP30">
        <f>IF(OR($B30=0,P30=""),0,DP29+1)</f>
        <v/>
      </c>
      <c r="DQ30">
        <f>IF(OR($B30=0,Q30=""),0,DQ29+1)</f>
        <v/>
      </c>
      <c r="DR30">
        <f>IF(OR($B30=0,R30=""),0,DR29+1)</f>
        <v/>
      </c>
      <c r="DS30">
        <f>IF(OR($B30=0,S30=""),0,DS29+1)</f>
        <v/>
      </c>
      <c r="DT30">
        <f>IF(OR($B30=0,T30=""),0,DT29+1)</f>
        <v/>
      </c>
      <c r="DU30">
        <f>IF(OR($B30=0,U30=""),0,DU29+1)</f>
        <v/>
      </c>
      <c r="DV30">
        <f>IF(OR($B30=0,V30=""),0,DV29+1)</f>
        <v/>
      </c>
      <c r="DW30">
        <f>'ตารางเวร'!AD$7</f>
        <v/>
      </c>
      <c r="DX30">
        <f>IF($B30=0,0,IF(WEEKDAY('ตารางเวร'!AD$6,2)=IFERROR(MATCH('ตารางเวร'!$AM$11,'ตารางเวร'!$AO$10:$AO$17,0),0),1,0))</f>
        <v/>
      </c>
    </row>
    <row r="31">
      <c r="A31" t="n">
        <v>29</v>
      </c>
      <c r="B31">
        <f>IF(29&gt;DAY(EOMONTH(DATE('ตารางเวร'!$B$3-543,'ตารางเวร'!$B$2,1),0)),0,1)</f>
        <v/>
      </c>
      <c r="C31">
        <f>IF($B31=0,"",IFERROR(TRIM(INDEX('ตารางเวร'!$C$10:$AG$29,1,$A31)),""))</f>
        <v/>
      </c>
      <c r="D31">
        <f>IF($B31=0,"",IFERROR(TRIM(INDEX('ตารางเวร'!$C$10:$AG$29,2,$A31)),""))</f>
        <v/>
      </c>
      <c r="E31">
        <f>IF($B31=0,"",IFERROR(TRIM(INDEX('ตารางเวร'!$C$10:$AG$29,3,$A31)),""))</f>
        <v/>
      </c>
      <c r="F31">
        <f>IF($B31=0,"",IFERROR(TRIM(INDEX('ตารางเวร'!$C$10:$AG$29,4,$A31)),""))</f>
        <v/>
      </c>
      <c r="G31">
        <f>IF($B31=0,"",IFERROR(TRIM(INDEX('ตารางเวร'!$C$10:$AG$29,5,$A31)),""))</f>
        <v/>
      </c>
      <c r="H31">
        <f>IF($B31=0,"",IFERROR(TRIM(INDEX('ตารางเวร'!$C$10:$AG$29,6,$A31)),""))</f>
        <v/>
      </c>
      <c r="I31">
        <f>IF($B31=0,"",IFERROR(TRIM(INDEX('ตารางเวร'!$C$10:$AG$29,7,$A31)),""))</f>
        <v/>
      </c>
      <c r="J31">
        <f>IF($B31=0,"",IFERROR(TRIM(INDEX('ตารางเวร'!$C$10:$AG$29,8,$A31)),""))</f>
        <v/>
      </c>
      <c r="K31">
        <f>IF($B31=0,"",IFERROR(TRIM(INDEX('ตารางเวร'!$C$10:$AG$29,9,$A31)),""))</f>
        <v/>
      </c>
      <c r="L31">
        <f>IF($B31=0,"",IFERROR(TRIM(INDEX('ตารางเวร'!$C$10:$AG$29,10,$A31)),""))</f>
        <v/>
      </c>
      <c r="M31">
        <f>IF($B31=0,"",IFERROR(TRIM(INDEX('ตารางเวร'!$C$10:$AG$29,11,$A31)),""))</f>
        <v/>
      </c>
      <c r="N31">
        <f>IF($B31=0,"",IFERROR(TRIM(INDEX('ตารางเวร'!$C$10:$AG$29,12,$A31)),""))</f>
        <v/>
      </c>
      <c r="O31">
        <f>IF($B31=0,"",IFERROR(TRIM(INDEX('ตารางเวร'!$C$10:$AG$29,13,$A31)),""))</f>
        <v/>
      </c>
      <c r="P31">
        <f>IF($B31=0,"",IFERROR(TRIM(INDEX('ตารางเวร'!$C$10:$AG$29,14,$A31)),""))</f>
        <v/>
      </c>
      <c r="Q31">
        <f>IF($B31=0,"",IFERROR(TRIM(INDEX('ตารางเวร'!$C$10:$AG$29,15,$A31)),""))</f>
        <v/>
      </c>
      <c r="R31">
        <f>IF($B31=0,"",IFERROR(TRIM(INDEX('ตารางเวร'!$C$10:$AG$29,16,$A31)),""))</f>
        <v/>
      </c>
      <c r="S31">
        <f>IF($B31=0,"",IFERROR(TRIM(INDEX('ตารางเวร'!$C$10:$AG$29,17,$A31)),""))</f>
        <v/>
      </c>
      <c r="T31">
        <f>IF($B31=0,"",IFERROR(TRIM(INDEX('ตารางเวร'!$C$10:$AG$29,18,$A31)),""))</f>
        <v/>
      </c>
      <c r="U31">
        <f>IF($B31=0,"",IFERROR(TRIM(INDEX('ตารางเวร'!$C$10:$AG$29,19,$A31)),""))</f>
        <v/>
      </c>
      <c r="V31">
        <f>IF($B31=0,"",IFERROR(TRIM(INDEX('ตารางเวร'!$C$10:$AG$29,20,$A31)),""))</f>
        <v/>
      </c>
      <c r="W31">
        <f>IF(AND($B31=1,C31&lt;&gt;"",ISNUMBER(FIND("*",C31))),MOD((MOD('ตารางเวร'!$B$4,9973)*7919+$A31*40289)*(1*104729+7919),99991)*100+1,999999999)</f>
        <v/>
      </c>
      <c r="X31">
        <f>IF(AND($B31=1,D31&lt;&gt;"",ISNUMBER(FIND("*",D31))),MOD((MOD('ตารางเวร'!$B$4,9973)*7919+$A31*40289)*(2*104729+7919),99991)*100+2,999999999)</f>
        <v/>
      </c>
      <c r="Y31">
        <f>IF(AND($B31=1,E31&lt;&gt;"",ISNUMBER(FIND("*",E31))),MOD((MOD('ตารางเวร'!$B$4,9973)*7919+$A31*40289)*(3*104729+7919),99991)*100+3,999999999)</f>
        <v/>
      </c>
      <c r="Z31">
        <f>IF(AND($B31=1,F31&lt;&gt;"",ISNUMBER(FIND("*",F31))),MOD((MOD('ตารางเวร'!$B$4,9973)*7919+$A31*40289)*(4*104729+7919),99991)*100+4,999999999)</f>
        <v/>
      </c>
      <c r="AA31">
        <f>IF(AND($B31=1,G31&lt;&gt;"",ISNUMBER(FIND("*",G31))),MOD((MOD('ตารางเวร'!$B$4,9973)*7919+$A31*40289)*(5*104729+7919),99991)*100+5,999999999)</f>
        <v/>
      </c>
      <c r="AB31">
        <f>IF(AND($B31=1,H31&lt;&gt;"",ISNUMBER(FIND("*",H31))),MOD((MOD('ตารางเวร'!$B$4,9973)*7919+$A31*40289)*(6*104729+7919),99991)*100+6,999999999)</f>
        <v/>
      </c>
      <c r="AC31">
        <f>IF(AND($B31=1,I31&lt;&gt;"",ISNUMBER(FIND("*",I31))),MOD((MOD('ตารางเวร'!$B$4,9973)*7919+$A31*40289)*(7*104729+7919),99991)*100+7,999999999)</f>
        <v/>
      </c>
      <c r="AD31">
        <f>IF(AND($B31=1,J31&lt;&gt;"",ISNUMBER(FIND("*",J31))),MOD((MOD('ตารางเวร'!$B$4,9973)*7919+$A31*40289)*(8*104729+7919),99991)*100+8,999999999)</f>
        <v/>
      </c>
      <c r="AE31">
        <f>IF(AND($B31=1,K31&lt;&gt;"",ISNUMBER(FIND("*",K31))),MOD((MOD('ตารางเวร'!$B$4,9973)*7919+$A31*40289)*(9*104729+7919),99991)*100+9,999999999)</f>
        <v/>
      </c>
      <c r="AF31">
        <f>IF(AND($B31=1,L31&lt;&gt;"",ISNUMBER(FIND("*",L31))),MOD((MOD('ตารางเวร'!$B$4,9973)*7919+$A31*40289)*(10*104729+7919),99991)*100+10,999999999)</f>
        <v/>
      </c>
      <c r="AG31">
        <f>IF(AND($B31=1,M31&lt;&gt;"",ISNUMBER(FIND("*",M31))),MOD((MOD('ตารางเวร'!$B$4,9973)*7919+$A31*40289)*(11*104729+7919),99991)*100+11,999999999)</f>
        <v/>
      </c>
      <c r="AH31">
        <f>IF(AND($B31=1,N31&lt;&gt;"",ISNUMBER(FIND("*",N31))),MOD((MOD('ตารางเวร'!$B$4,9973)*7919+$A31*40289)*(12*104729+7919),99991)*100+12,999999999)</f>
        <v/>
      </c>
      <c r="AI31">
        <f>IF(AND($B31=1,O31&lt;&gt;"",ISNUMBER(FIND("*",O31))),MOD((MOD('ตารางเวร'!$B$4,9973)*7919+$A31*40289)*(13*104729+7919),99991)*100+13,999999999)</f>
        <v/>
      </c>
      <c r="AJ31">
        <f>IF(AND($B31=1,P31&lt;&gt;"",ISNUMBER(FIND("*",P31))),MOD((MOD('ตารางเวร'!$B$4,9973)*7919+$A31*40289)*(14*104729+7919),99991)*100+14,999999999)</f>
        <v/>
      </c>
      <c r="AK31">
        <f>IF(AND($B31=1,Q31&lt;&gt;"",ISNUMBER(FIND("*",Q31))),MOD((MOD('ตารางเวร'!$B$4,9973)*7919+$A31*40289)*(15*104729+7919),99991)*100+15,999999999)</f>
        <v/>
      </c>
      <c r="AL31">
        <f>IF(AND($B31=1,R31&lt;&gt;"",ISNUMBER(FIND("*",R31))),MOD((MOD('ตารางเวร'!$B$4,9973)*7919+$A31*40289)*(16*104729+7919),99991)*100+16,999999999)</f>
        <v/>
      </c>
      <c r="AM31">
        <f>IF(AND($B31=1,S31&lt;&gt;"",ISNUMBER(FIND("*",S31))),MOD((MOD('ตารางเวร'!$B$4,9973)*7919+$A31*40289)*(17*104729+7919),99991)*100+17,999999999)</f>
        <v/>
      </c>
      <c r="AN31">
        <f>IF(AND($B31=1,T31&lt;&gt;"",ISNUMBER(FIND("*",T31))),MOD((MOD('ตารางเวร'!$B$4,9973)*7919+$A31*40289)*(18*104729+7919),99991)*100+18,999999999)</f>
        <v/>
      </c>
      <c r="AO31">
        <f>IF(AND($B31=1,U31&lt;&gt;"",ISNUMBER(FIND("*",U31))),MOD((MOD('ตารางเวร'!$B$4,9973)*7919+$A31*40289)*(19*104729+7919),99991)*100+19,999999999)</f>
        <v/>
      </c>
      <c r="AP31">
        <f>IF(AND($B31=1,V31&lt;&gt;"",ISNUMBER(FIND("*",V31))),MOD((MOD('ตารางเวร'!$B$4,9973)*7919+$A31*40289)*(20*104729+7919),99991)*100+20,999999999)</f>
        <v/>
      </c>
      <c r="AQ31">
        <f>IF(TRIM('ตารางเวร'!$B$10)&lt;&gt;"",999999999,W31)</f>
        <v/>
      </c>
      <c r="AR31">
        <f>IF(TRIM('ตารางเวร'!$B$11)&lt;&gt;"",999999999,X31)</f>
        <v/>
      </c>
      <c r="AS31">
        <f>IF(TRIM('ตารางเวร'!$B$12)&lt;&gt;"",999999999,Y31)</f>
        <v/>
      </c>
      <c r="AT31">
        <f>IF(TRIM('ตารางเวร'!$B$13)&lt;&gt;"",999999999,Z31)</f>
        <v/>
      </c>
      <c r="AU31">
        <f>IF(TRIM('ตารางเวร'!$B$14)&lt;&gt;"",999999999,AA31)</f>
        <v/>
      </c>
      <c r="AV31">
        <f>IF(TRIM('ตารางเวร'!$B$15)&lt;&gt;"",999999999,AB31)</f>
        <v/>
      </c>
      <c r="AW31">
        <f>IF(TRIM('ตารางเวร'!$B$16)&lt;&gt;"",999999999,AC31)</f>
        <v/>
      </c>
      <c r="AX31">
        <f>IF(TRIM('ตารางเวร'!$B$17)&lt;&gt;"",999999999,AD31)</f>
        <v/>
      </c>
      <c r="AY31">
        <f>IF(TRIM('ตารางเวร'!$B$18)&lt;&gt;"",999999999,AE31)</f>
        <v/>
      </c>
      <c r="AZ31">
        <f>IF(TRIM('ตารางเวร'!$B$19)&lt;&gt;"",999999999,AF31)</f>
        <v/>
      </c>
      <c r="BA31">
        <f>IF(TRIM('ตารางเวร'!$B$20)&lt;&gt;"",999999999,AG31)</f>
        <v/>
      </c>
      <c r="BB31">
        <f>IF(TRIM('ตารางเวร'!$B$21)&lt;&gt;"",999999999,AH31)</f>
        <v/>
      </c>
      <c r="BC31">
        <f>IF(TRIM('ตารางเวร'!$B$22)&lt;&gt;"",999999999,AI31)</f>
        <v/>
      </c>
      <c r="BD31">
        <f>IF(TRIM('ตารางเวร'!$B$23)&lt;&gt;"",999999999,AJ31)</f>
        <v/>
      </c>
      <c r="BE31">
        <f>IF(TRIM('ตารางเวร'!$B$24)&lt;&gt;"",999999999,AK31)</f>
        <v/>
      </c>
      <c r="BF31">
        <f>IF(TRIM('ตารางเวร'!$B$25)&lt;&gt;"",999999999,AL31)</f>
        <v/>
      </c>
      <c r="BG31">
        <f>IF(TRIM('ตารางเวร'!$B$26)&lt;&gt;"",999999999,AM31)</f>
        <v/>
      </c>
      <c r="BH31">
        <f>IF(TRIM('ตารางเวร'!$B$27)&lt;&gt;"",999999999,AN31)</f>
        <v/>
      </c>
      <c r="BI31">
        <f>IF(TRIM('ตารางเวร'!$B$28)&lt;&gt;"",999999999,AO31)</f>
        <v/>
      </c>
      <c r="BJ31">
        <f>IF(TRIM('ตารางเวร'!$B$29)&lt;&gt;"",999999999,AP31)</f>
        <v/>
      </c>
      <c r="BK31">
        <f>IF(AND($B31=1,C31&lt;&gt;"",NOT(ISNUMBER(FIND("*",C31)))),1,999999)</f>
        <v/>
      </c>
      <c r="BL31">
        <f>IF(AND($B31=1,D31&lt;&gt;"",NOT(ISNUMBER(FIND("*",D31)))),2,999999)</f>
        <v/>
      </c>
      <c r="BM31">
        <f>IF(AND($B31=1,E31&lt;&gt;"",NOT(ISNUMBER(FIND("*",E31)))),3,999999)</f>
        <v/>
      </c>
      <c r="BN31">
        <f>IF(AND($B31=1,F31&lt;&gt;"",NOT(ISNUMBER(FIND("*",F31)))),4,999999)</f>
        <v/>
      </c>
      <c r="BO31">
        <f>IF(AND($B31=1,G31&lt;&gt;"",NOT(ISNUMBER(FIND("*",G31)))),5,999999)</f>
        <v/>
      </c>
      <c r="BP31">
        <f>IF(AND($B31=1,H31&lt;&gt;"",NOT(ISNUMBER(FIND("*",H31)))),6,999999)</f>
        <v/>
      </c>
      <c r="BQ31">
        <f>IF(AND($B31=1,I31&lt;&gt;"",NOT(ISNUMBER(FIND("*",I31)))),7,999999)</f>
        <v/>
      </c>
      <c r="BR31">
        <f>IF(AND($B31=1,J31&lt;&gt;"",NOT(ISNUMBER(FIND("*",J31)))),8,999999)</f>
        <v/>
      </c>
      <c r="BS31">
        <f>IF(AND($B31=1,K31&lt;&gt;"",NOT(ISNUMBER(FIND("*",K31)))),9,999999)</f>
        <v/>
      </c>
      <c r="BT31">
        <f>IF(AND($B31=1,L31&lt;&gt;"",NOT(ISNUMBER(FIND("*",L31)))),10,999999)</f>
        <v/>
      </c>
      <c r="BU31">
        <f>IF(AND($B31=1,M31&lt;&gt;"",NOT(ISNUMBER(FIND("*",M31)))),11,999999)</f>
        <v/>
      </c>
      <c r="BV31">
        <f>IF(AND($B31=1,N31&lt;&gt;"",NOT(ISNUMBER(FIND("*",N31)))),12,999999)</f>
        <v/>
      </c>
      <c r="BW31">
        <f>IF(AND($B31=1,O31&lt;&gt;"",NOT(ISNUMBER(FIND("*",O31)))),13,999999)</f>
        <v/>
      </c>
      <c r="BX31">
        <f>IF(AND($B31=1,P31&lt;&gt;"",NOT(ISNUMBER(FIND("*",P31)))),14,999999)</f>
        <v/>
      </c>
      <c r="BY31">
        <f>IF(AND($B31=1,Q31&lt;&gt;"",NOT(ISNUMBER(FIND("*",Q31)))),15,999999)</f>
        <v/>
      </c>
      <c r="BZ31">
        <f>IF(AND($B31=1,R31&lt;&gt;"",NOT(ISNUMBER(FIND("*",R31)))),16,999999)</f>
        <v/>
      </c>
      <c r="CA31">
        <f>IF(AND($B31=1,S31&lt;&gt;"",NOT(ISNUMBER(FIND("*",S31)))),17,999999)</f>
        <v/>
      </c>
      <c r="CB31">
        <f>IF(AND($B31=1,T31&lt;&gt;"",NOT(ISNUMBER(FIND("*",T31)))),18,999999)</f>
        <v/>
      </c>
      <c r="CC31">
        <f>IF(AND($B31=1,U31&lt;&gt;"",NOT(ISNUMBER(FIND("*",U31)))),19,999999)</f>
        <v/>
      </c>
      <c r="CD31">
        <f>IF(AND($B31=1,V31&lt;&gt;"",NOT(ISNUMBER(FIND("*",V31)))),20,999999)</f>
        <v/>
      </c>
      <c r="CE31">
        <f>IF(MIN(AQ31:BJ31)&gt;=999999999,0,MATCH(MIN(AQ31:BJ31),AQ31:BJ31,0))</f>
        <v/>
      </c>
      <c r="CF31">
        <f>IF($CE31=1,999999999,W31)</f>
        <v/>
      </c>
      <c r="CG31">
        <f>IF($CE31=2,999999999,X31)</f>
        <v/>
      </c>
      <c r="CH31">
        <f>IF($CE31=3,999999999,Y31)</f>
        <v/>
      </c>
      <c r="CI31">
        <f>IF($CE31=4,999999999,Z31)</f>
        <v/>
      </c>
      <c r="CJ31">
        <f>IF($CE31=5,999999999,AA31)</f>
        <v/>
      </c>
      <c r="CK31">
        <f>IF($CE31=6,999999999,AB31)</f>
        <v/>
      </c>
      <c r="CL31">
        <f>IF($CE31=7,999999999,AC31)</f>
        <v/>
      </c>
      <c r="CM31">
        <f>IF($CE31=8,999999999,AD31)</f>
        <v/>
      </c>
      <c r="CN31">
        <f>IF($CE31=9,999999999,AE31)</f>
        <v/>
      </c>
      <c r="CO31">
        <f>IF($CE31=10,999999999,AF31)</f>
        <v/>
      </c>
      <c r="CP31">
        <f>IF($CE31=11,999999999,AG31)</f>
        <v/>
      </c>
      <c r="CQ31">
        <f>IF($CE31=12,999999999,AH31)</f>
        <v/>
      </c>
      <c r="CR31">
        <f>IF($CE31=13,999999999,AI31)</f>
        <v/>
      </c>
      <c r="CS31">
        <f>IF($CE31=14,999999999,AJ31)</f>
        <v/>
      </c>
      <c r="CT31">
        <f>IF($CE31=15,999999999,AK31)</f>
        <v/>
      </c>
      <c r="CU31">
        <f>IF($CE31=16,999999999,AL31)</f>
        <v/>
      </c>
      <c r="CV31">
        <f>IF($CE31=17,999999999,AM31)</f>
        <v/>
      </c>
      <c r="CW31">
        <f>IF($CE31=18,999999999,AN31)</f>
        <v/>
      </c>
      <c r="CX31">
        <f>IF($CE31=19,999999999,AO31)</f>
        <v/>
      </c>
      <c r="CY31">
        <f>IF($CE31=20,999999999,AP31)</f>
        <v/>
      </c>
      <c r="CZ31">
        <f>COUNTIF(W31:AP31,"&lt;999999999")</f>
        <v/>
      </c>
      <c r="DA31">
        <f>COUNTIF(BK31:CD31,"&lt;999999")</f>
        <v/>
      </c>
      <c r="DB31">
        <f>$CZ31-IF($CE31&gt;0,1,0)</f>
        <v/>
      </c>
      <c r="DC31">
        <f>IF(OR($B31=0,C31=""),0,DC30+1)</f>
        <v/>
      </c>
      <c r="DD31">
        <f>IF(OR($B31=0,D31=""),0,DD30+1)</f>
        <v/>
      </c>
      <c r="DE31">
        <f>IF(OR($B31=0,E31=""),0,DE30+1)</f>
        <v/>
      </c>
      <c r="DF31">
        <f>IF(OR($B31=0,F31=""),0,DF30+1)</f>
        <v/>
      </c>
      <c r="DG31">
        <f>IF(OR($B31=0,G31=""),0,DG30+1)</f>
        <v/>
      </c>
      <c r="DH31">
        <f>IF(OR($B31=0,H31=""),0,DH30+1)</f>
        <v/>
      </c>
      <c r="DI31">
        <f>IF(OR($B31=0,I31=""),0,DI30+1)</f>
        <v/>
      </c>
      <c r="DJ31">
        <f>IF(OR($B31=0,J31=""),0,DJ30+1)</f>
        <v/>
      </c>
      <c r="DK31">
        <f>IF(OR($B31=0,K31=""),0,DK30+1)</f>
        <v/>
      </c>
      <c r="DL31">
        <f>IF(OR($B31=0,L31=""),0,DL30+1)</f>
        <v/>
      </c>
      <c r="DM31">
        <f>IF(OR($B31=0,M31=""),0,DM30+1)</f>
        <v/>
      </c>
      <c r="DN31">
        <f>IF(OR($B31=0,N31=""),0,DN30+1)</f>
        <v/>
      </c>
      <c r="DO31">
        <f>IF(OR($B31=0,O31=""),0,DO30+1)</f>
        <v/>
      </c>
      <c r="DP31">
        <f>IF(OR($B31=0,P31=""),0,DP30+1)</f>
        <v/>
      </c>
      <c r="DQ31">
        <f>IF(OR($B31=0,Q31=""),0,DQ30+1)</f>
        <v/>
      </c>
      <c r="DR31">
        <f>IF(OR($B31=0,R31=""),0,DR30+1)</f>
        <v/>
      </c>
      <c r="DS31">
        <f>IF(OR($B31=0,S31=""),0,DS30+1)</f>
        <v/>
      </c>
      <c r="DT31">
        <f>IF(OR($B31=0,T31=""),0,DT30+1)</f>
        <v/>
      </c>
      <c r="DU31">
        <f>IF(OR($B31=0,U31=""),0,DU30+1)</f>
        <v/>
      </c>
      <c r="DV31">
        <f>IF(OR($B31=0,V31=""),0,DV30+1)</f>
        <v/>
      </c>
      <c r="DW31">
        <f>'ตารางเวร'!AE$7</f>
        <v/>
      </c>
      <c r="DX31">
        <f>IF($B31=0,0,IF(WEEKDAY('ตารางเวร'!AE$6,2)=IFERROR(MATCH('ตารางเวร'!$AM$11,'ตารางเวร'!$AO$10:$AO$17,0),0),1,0))</f>
        <v/>
      </c>
    </row>
    <row r="32">
      <c r="A32" t="n">
        <v>30</v>
      </c>
      <c r="B32">
        <f>IF(30&gt;DAY(EOMONTH(DATE('ตารางเวร'!$B$3-543,'ตารางเวร'!$B$2,1),0)),0,1)</f>
        <v/>
      </c>
      <c r="C32">
        <f>IF($B32=0,"",IFERROR(TRIM(INDEX('ตารางเวร'!$C$10:$AG$29,1,$A32)),""))</f>
        <v/>
      </c>
      <c r="D32">
        <f>IF($B32=0,"",IFERROR(TRIM(INDEX('ตารางเวร'!$C$10:$AG$29,2,$A32)),""))</f>
        <v/>
      </c>
      <c r="E32">
        <f>IF($B32=0,"",IFERROR(TRIM(INDEX('ตารางเวร'!$C$10:$AG$29,3,$A32)),""))</f>
        <v/>
      </c>
      <c r="F32">
        <f>IF($B32=0,"",IFERROR(TRIM(INDEX('ตารางเวร'!$C$10:$AG$29,4,$A32)),""))</f>
        <v/>
      </c>
      <c r="G32">
        <f>IF($B32=0,"",IFERROR(TRIM(INDEX('ตารางเวร'!$C$10:$AG$29,5,$A32)),""))</f>
        <v/>
      </c>
      <c r="H32">
        <f>IF($B32=0,"",IFERROR(TRIM(INDEX('ตารางเวร'!$C$10:$AG$29,6,$A32)),""))</f>
        <v/>
      </c>
      <c r="I32">
        <f>IF($B32=0,"",IFERROR(TRIM(INDEX('ตารางเวร'!$C$10:$AG$29,7,$A32)),""))</f>
        <v/>
      </c>
      <c r="J32">
        <f>IF($B32=0,"",IFERROR(TRIM(INDEX('ตารางเวร'!$C$10:$AG$29,8,$A32)),""))</f>
        <v/>
      </c>
      <c r="K32">
        <f>IF($B32=0,"",IFERROR(TRIM(INDEX('ตารางเวร'!$C$10:$AG$29,9,$A32)),""))</f>
        <v/>
      </c>
      <c r="L32">
        <f>IF($B32=0,"",IFERROR(TRIM(INDEX('ตารางเวร'!$C$10:$AG$29,10,$A32)),""))</f>
        <v/>
      </c>
      <c r="M32">
        <f>IF($B32=0,"",IFERROR(TRIM(INDEX('ตารางเวร'!$C$10:$AG$29,11,$A32)),""))</f>
        <v/>
      </c>
      <c r="N32">
        <f>IF($B32=0,"",IFERROR(TRIM(INDEX('ตารางเวร'!$C$10:$AG$29,12,$A32)),""))</f>
        <v/>
      </c>
      <c r="O32">
        <f>IF($B32=0,"",IFERROR(TRIM(INDEX('ตารางเวร'!$C$10:$AG$29,13,$A32)),""))</f>
        <v/>
      </c>
      <c r="P32">
        <f>IF($B32=0,"",IFERROR(TRIM(INDEX('ตารางเวร'!$C$10:$AG$29,14,$A32)),""))</f>
        <v/>
      </c>
      <c r="Q32">
        <f>IF($B32=0,"",IFERROR(TRIM(INDEX('ตารางเวร'!$C$10:$AG$29,15,$A32)),""))</f>
        <v/>
      </c>
      <c r="R32">
        <f>IF($B32=0,"",IFERROR(TRIM(INDEX('ตารางเวร'!$C$10:$AG$29,16,$A32)),""))</f>
        <v/>
      </c>
      <c r="S32">
        <f>IF($B32=0,"",IFERROR(TRIM(INDEX('ตารางเวร'!$C$10:$AG$29,17,$A32)),""))</f>
        <v/>
      </c>
      <c r="T32">
        <f>IF($B32=0,"",IFERROR(TRIM(INDEX('ตารางเวร'!$C$10:$AG$29,18,$A32)),""))</f>
        <v/>
      </c>
      <c r="U32">
        <f>IF($B32=0,"",IFERROR(TRIM(INDEX('ตารางเวร'!$C$10:$AG$29,19,$A32)),""))</f>
        <v/>
      </c>
      <c r="V32">
        <f>IF($B32=0,"",IFERROR(TRIM(INDEX('ตารางเวร'!$C$10:$AG$29,20,$A32)),""))</f>
        <v/>
      </c>
      <c r="W32">
        <f>IF(AND($B32=1,C32&lt;&gt;"",ISNUMBER(FIND("*",C32))),MOD((MOD('ตารางเวร'!$B$4,9973)*7919+$A32*40289)*(1*104729+7919),99991)*100+1,999999999)</f>
        <v/>
      </c>
      <c r="X32">
        <f>IF(AND($B32=1,D32&lt;&gt;"",ISNUMBER(FIND("*",D32))),MOD((MOD('ตารางเวร'!$B$4,9973)*7919+$A32*40289)*(2*104729+7919),99991)*100+2,999999999)</f>
        <v/>
      </c>
      <c r="Y32">
        <f>IF(AND($B32=1,E32&lt;&gt;"",ISNUMBER(FIND("*",E32))),MOD((MOD('ตารางเวร'!$B$4,9973)*7919+$A32*40289)*(3*104729+7919),99991)*100+3,999999999)</f>
        <v/>
      </c>
      <c r="Z32">
        <f>IF(AND($B32=1,F32&lt;&gt;"",ISNUMBER(FIND("*",F32))),MOD((MOD('ตารางเวร'!$B$4,9973)*7919+$A32*40289)*(4*104729+7919),99991)*100+4,999999999)</f>
        <v/>
      </c>
      <c r="AA32">
        <f>IF(AND($B32=1,G32&lt;&gt;"",ISNUMBER(FIND("*",G32))),MOD((MOD('ตารางเวร'!$B$4,9973)*7919+$A32*40289)*(5*104729+7919),99991)*100+5,999999999)</f>
        <v/>
      </c>
      <c r="AB32">
        <f>IF(AND($B32=1,H32&lt;&gt;"",ISNUMBER(FIND("*",H32))),MOD((MOD('ตารางเวร'!$B$4,9973)*7919+$A32*40289)*(6*104729+7919),99991)*100+6,999999999)</f>
        <v/>
      </c>
      <c r="AC32">
        <f>IF(AND($B32=1,I32&lt;&gt;"",ISNUMBER(FIND("*",I32))),MOD((MOD('ตารางเวร'!$B$4,9973)*7919+$A32*40289)*(7*104729+7919),99991)*100+7,999999999)</f>
        <v/>
      </c>
      <c r="AD32">
        <f>IF(AND($B32=1,J32&lt;&gt;"",ISNUMBER(FIND("*",J32))),MOD((MOD('ตารางเวร'!$B$4,9973)*7919+$A32*40289)*(8*104729+7919),99991)*100+8,999999999)</f>
        <v/>
      </c>
      <c r="AE32">
        <f>IF(AND($B32=1,K32&lt;&gt;"",ISNUMBER(FIND("*",K32))),MOD((MOD('ตารางเวร'!$B$4,9973)*7919+$A32*40289)*(9*104729+7919),99991)*100+9,999999999)</f>
        <v/>
      </c>
      <c r="AF32">
        <f>IF(AND($B32=1,L32&lt;&gt;"",ISNUMBER(FIND("*",L32))),MOD((MOD('ตารางเวร'!$B$4,9973)*7919+$A32*40289)*(10*104729+7919),99991)*100+10,999999999)</f>
        <v/>
      </c>
      <c r="AG32">
        <f>IF(AND($B32=1,M32&lt;&gt;"",ISNUMBER(FIND("*",M32))),MOD((MOD('ตารางเวร'!$B$4,9973)*7919+$A32*40289)*(11*104729+7919),99991)*100+11,999999999)</f>
        <v/>
      </c>
      <c r="AH32">
        <f>IF(AND($B32=1,N32&lt;&gt;"",ISNUMBER(FIND("*",N32))),MOD((MOD('ตารางเวร'!$B$4,9973)*7919+$A32*40289)*(12*104729+7919),99991)*100+12,999999999)</f>
        <v/>
      </c>
      <c r="AI32">
        <f>IF(AND($B32=1,O32&lt;&gt;"",ISNUMBER(FIND("*",O32))),MOD((MOD('ตารางเวร'!$B$4,9973)*7919+$A32*40289)*(13*104729+7919),99991)*100+13,999999999)</f>
        <v/>
      </c>
      <c r="AJ32">
        <f>IF(AND($B32=1,P32&lt;&gt;"",ISNUMBER(FIND("*",P32))),MOD((MOD('ตารางเวร'!$B$4,9973)*7919+$A32*40289)*(14*104729+7919),99991)*100+14,999999999)</f>
        <v/>
      </c>
      <c r="AK32">
        <f>IF(AND($B32=1,Q32&lt;&gt;"",ISNUMBER(FIND("*",Q32))),MOD((MOD('ตารางเวร'!$B$4,9973)*7919+$A32*40289)*(15*104729+7919),99991)*100+15,999999999)</f>
        <v/>
      </c>
      <c r="AL32">
        <f>IF(AND($B32=1,R32&lt;&gt;"",ISNUMBER(FIND("*",R32))),MOD((MOD('ตารางเวร'!$B$4,9973)*7919+$A32*40289)*(16*104729+7919),99991)*100+16,999999999)</f>
        <v/>
      </c>
      <c r="AM32">
        <f>IF(AND($B32=1,S32&lt;&gt;"",ISNUMBER(FIND("*",S32))),MOD((MOD('ตารางเวร'!$B$4,9973)*7919+$A32*40289)*(17*104729+7919),99991)*100+17,999999999)</f>
        <v/>
      </c>
      <c r="AN32">
        <f>IF(AND($B32=1,T32&lt;&gt;"",ISNUMBER(FIND("*",T32))),MOD((MOD('ตารางเวร'!$B$4,9973)*7919+$A32*40289)*(18*104729+7919),99991)*100+18,999999999)</f>
        <v/>
      </c>
      <c r="AO32">
        <f>IF(AND($B32=1,U32&lt;&gt;"",ISNUMBER(FIND("*",U32))),MOD((MOD('ตารางเวร'!$B$4,9973)*7919+$A32*40289)*(19*104729+7919),99991)*100+19,999999999)</f>
        <v/>
      </c>
      <c r="AP32">
        <f>IF(AND($B32=1,V32&lt;&gt;"",ISNUMBER(FIND("*",V32))),MOD((MOD('ตารางเวร'!$B$4,9973)*7919+$A32*40289)*(20*104729+7919),99991)*100+20,999999999)</f>
        <v/>
      </c>
      <c r="AQ32">
        <f>IF(TRIM('ตารางเวร'!$B$10)&lt;&gt;"",999999999,W32)</f>
        <v/>
      </c>
      <c r="AR32">
        <f>IF(TRIM('ตารางเวร'!$B$11)&lt;&gt;"",999999999,X32)</f>
        <v/>
      </c>
      <c r="AS32">
        <f>IF(TRIM('ตารางเวร'!$B$12)&lt;&gt;"",999999999,Y32)</f>
        <v/>
      </c>
      <c r="AT32">
        <f>IF(TRIM('ตารางเวร'!$B$13)&lt;&gt;"",999999999,Z32)</f>
        <v/>
      </c>
      <c r="AU32">
        <f>IF(TRIM('ตารางเวร'!$B$14)&lt;&gt;"",999999999,AA32)</f>
        <v/>
      </c>
      <c r="AV32">
        <f>IF(TRIM('ตารางเวร'!$B$15)&lt;&gt;"",999999999,AB32)</f>
        <v/>
      </c>
      <c r="AW32">
        <f>IF(TRIM('ตารางเวร'!$B$16)&lt;&gt;"",999999999,AC32)</f>
        <v/>
      </c>
      <c r="AX32">
        <f>IF(TRIM('ตารางเวร'!$B$17)&lt;&gt;"",999999999,AD32)</f>
        <v/>
      </c>
      <c r="AY32">
        <f>IF(TRIM('ตารางเวร'!$B$18)&lt;&gt;"",999999999,AE32)</f>
        <v/>
      </c>
      <c r="AZ32">
        <f>IF(TRIM('ตารางเวร'!$B$19)&lt;&gt;"",999999999,AF32)</f>
        <v/>
      </c>
      <c r="BA32">
        <f>IF(TRIM('ตารางเวร'!$B$20)&lt;&gt;"",999999999,AG32)</f>
        <v/>
      </c>
      <c r="BB32">
        <f>IF(TRIM('ตารางเวร'!$B$21)&lt;&gt;"",999999999,AH32)</f>
        <v/>
      </c>
      <c r="BC32">
        <f>IF(TRIM('ตารางเวร'!$B$22)&lt;&gt;"",999999999,AI32)</f>
        <v/>
      </c>
      <c r="BD32">
        <f>IF(TRIM('ตารางเวร'!$B$23)&lt;&gt;"",999999999,AJ32)</f>
        <v/>
      </c>
      <c r="BE32">
        <f>IF(TRIM('ตารางเวร'!$B$24)&lt;&gt;"",999999999,AK32)</f>
        <v/>
      </c>
      <c r="BF32">
        <f>IF(TRIM('ตารางเวร'!$B$25)&lt;&gt;"",999999999,AL32)</f>
        <v/>
      </c>
      <c r="BG32">
        <f>IF(TRIM('ตารางเวร'!$B$26)&lt;&gt;"",999999999,AM32)</f>
        <v/>
      </c>
      <c r="BH32">
        <f>IF(TRIM('ตารางเวร'!$B$27)&lt;&gt;"",999999999,AN32)</f>
        <v/>
      </c>
      <c r="BI32">
        <f>IF(TRIM('ตารางเวร'!$B$28)&lt;&gt;"",999999999,AO32)</f>
        <v/>
      </c>
      <c r="BJ32">
        <f>IF(TRIM('ตารางเวร'!$B$29)&lt;&gt;"",999999999,AP32)</f>
        <v/>
      </c>
      <c r="BK32">
        <f>IF(AND($B32=1,C32&lt;&gt;"",NOT(ISNUMBER(FIND("*",C32)))),1,999999)</f>
        <v/>
      </c>
      <c r="BL32">
        <f>IF(AND($B32=1,D32&lt;&gt;"",NOT(ISNUMBER(FIND("*",D32)))),2,999999)</f>
        <v/>
      </c>
      <c r="BM32">
        <f>IF(AND($B32=1,E32&lt;&gt;"",NOT(ISNUMBER(FIND("*",E32)))),3,999999)</f>
        <v/>
      </c>
      <c r="BN32">
        <f>IF(AND($B32=1,F32&lt;&gt;"",NOT(ISNUMBER(FIND("*",F32)))),4,999999)</f>
        <v/>
      </c>
      <c r="BO32">
        <f>IF(AND($B32=1,G32&lt;&gt;"",NOT(ISNUMBER(FIND("*",G32)))),5,999999)</f>
        <v/>
      </c>
      <c r="BP32">
        <f>IF(AND($B32=1,H32&lt;&gt;"",NOT(ISNUMBER(FIND("*",H32)))),6,999999)</f>
        <v/>
      </c>
      <c r="BQ32">
        <f>IF(AND($B32=1,I32&lt;&gt;"",NOT(ISNUMBER(FIND("*",I32)))),7,999999)</f>
        <v/>
      </c>
      <c r="BR32">
        <f>IF(AND($B32=1,J32&lt;&gt;"",NOT(ISNUMBER(FIND("*",J32)))),8,999999)</f>
        <v/>
      </c>
      <c r="BS32">
        <f>IF(AND($B32=1,K32&lt;&gt;"",NOT(ISNUMBER(FIND("*",K32)))),9,999999)</f>
        <v/>
      </c>
      <c r="BT32">
        <f>IF(AND($B32=1,L32&lt;&gt;"",NOT(ISNUMBER(FIND("*",L32)))),10,999999)</f>
        <v/>
      </c>
      <c r="BU32">
        <f>IF(AND($B32=1,M32&lt;&gt;"",NOT(ISNUMBER(FIND("*",M32)))),11,999999)</f>
        <v/>
      </c>
      <c r="BV32">
        <f>IF(AND($B32=1,N32&lt;&gt;"",NOT(ISNUMBER(FIND("*",N32)))),12,999999)</f>
        <v/>
      </c>
      <c r="BW32">
        <f>IF(AND($B32=1,O32&lt;&gt;"",NOT(ISNUMBER(FIND("*",O32)))),13,999999)</f>
        <v/>
      </c>
      <c r="BX32">
        <f>IF(AND($B32=1,P32&lt;&gt;"",NOT(ISNUMBER(FIND("*",P32)))),14,999999)</f>
        <v/>
      </c>
      <c r="BY32">
        <f>IF(AND($B32=1,Q32&lt;&gt;"",NOT(ISNUMBER(FIND("*",Q32)))),15,999999)</f>
        <v/>
      </c>
      <c r="BZ32">
        <f>IF(AND($B32=1,R32&lt;&gt;"",NOT(ISNUMBER(FIND("*",R32)))),16,999999)</f>
        <v/>
      </c>
      <c r="CA32">
        <f>IF(AND($B32=1,S32&lt;&gt;"",NOT(ISNUMBER(FIND("*",S32)))),17,999999)</f>
        <v/>
      </c>
      <c r="CB32">
        <f>IF(AND($B32=1,T32&lt;&gt;"",NOT(ISNUMBER(FIND("*",T32)))),18,999999)</f>
        <v/>
      </c>
      <c r="CC32">
        <f>IF(AND($B32=1,U32&lt;&gt;"",NOT(ISNUMBER(FIND("*",U32)))),19,999999)</f>
        <v/>
      </c>
      <c r="CD32">
        <f>IF(AND($B32=1,V32&lt;&gt;"",NOT(ISNUMBER(FIND("*",V32)))),20,999999)</f>
        <v/>
      </c>
      <c r="CE32">
        <f>IF(MIN(AQ32:BJ32)&gt;=999999999,0,MATCH(MIN(AQ32:BJ32),AQ32:BJ32,0))</f>
        <v/>
      </c>
      <c r="CF32">
        <f>IF($CE32=1,999999999,W32)</f>
        <v/>
      </c>
      <c r="CG32">
        <f>IF($CE32=2,999999999,X32)</f>
        <v/>
      </c>
      <c r="CH32">
        <f>IF($CE32=3,999999999,Y32)</f>
        <v/>
      </c>
      <c r="CI32">
        <f>IF($CE32=4,999999999,Z32)</f>
        <v/>
      </c>
      <c r="CJ32">
        <f>IF($CE32=5,999999999,AA32)</f>
        <v/>
      </c>
      <c r="CK32">
        <f>IF($CE32=6,999999999,AB32)</f>
        <v/>
      </c>
      <c r="CL32">
        <f>IF($CE32=7,999999999,AC32)</f>
        <v/>
      </c>
      <c r="CM32">
        <f>IF($CE32=8,999999999,AD32)</f>
        <v/>
      </c>
      <c r="CN32">
        <f>IF($CE32=9,999999999,AE32)</f>
        <v/>
      </c>
      <c r="CO32">
        <f>IF($CE32=10,999999999,AF32)</f>
        <v/>
      </c>
      <c r="CP32">
        <f>IF($CE32=11,999999999,AG32)</f>
        <v/>
      </c>
      <c r="CQ32">
        <f>IF($CE32=12,999999999,AH32)</f>
        <v/>
      </c>
      <c r="CR32">
        <f>IF($CE32=13,999999999,AI32)</f>
        <v/>
      </c>
      <c r="CS32">
        <f>IF($CE32=14,999999999,AJ32)</f>
        <v/>
      </c>
      <c r="CT32">
        <f>IF($CE32=15,999999999,AK32)</f>
        <v/>
      </c>
      <c r="CU32">
        <f>IF($CE32=16,999999999,AL32)</f>
        <v/>
      </c>
      <c r="CV32">
        <f>IF($CE32=17,999999999,AM32)</f>
        <v/>
      </c>
      <c r="CW32">
        <f>IF($CE32=18,999999999,AN32)</f>
        <v/>
      </c>
      <c r="CX32">
        <f>IF($CE32=19,999999999,AO32)</f>
        <v/>
      </c>
      <c r="CY32">
        <f>IF($CE32=20,999999999,AP32)</f>
        <v/>
      </c>
      <c r="CZ32">
        <f>COUNTIF(W32:AP32,"&lt;999999999")</f>
        <v/>
      </c>
      <c r="DA32">
        <f>COUNTIF(BK32:CD32,"&lt;999999")</f>
        <v/>
      </c>
      <c r="DB32">
        <f>$CZ32-IF($CE32&gt;0,1,0)</f>
        <v/>
      </c>
      <c r="DC32">
        <f>IF(OR($B32=0,C32=""),0,DC31+1)</f>
        <v/>
      </c>
      <c r="DD32">
        <f>IF(OR($B32=0,D32=""),0,DD31+1)</f>
        <v/>
      </c>
      <c r="DE32">
        <f>IF(OR($B32=0,E32=""),0,DE31+1)</f>
        <v/>
      </c>
      <c r="DF32">
        <f>IF(OR($B32=0,F32=""),0,DF31+1)</f>
        <v/>
      </c>
      <c r="DG32">
        <f>IF(OR($B32=0,G32=""),0,DG31+1)</f>
        <v/>
      </c>
      <c r="DH32">
        <f>IF(OR($B32=0,H32=""),0,DH31+1)</f>
        <v/>
      </c>
      <c r="DI32">
        <f>IF(OR($B32=0,I32=""),0,DI31+1)</f>
        <v/>
      </c>
      <c r="DJ32">
        <f>IF(OR($B32=0,J32=""),0,DJ31+1)</f>
        <v/>
      </c>
      <c r="DK32">
        <f>IF(OR($B32=0,K32=""),0,DK31+1)</f>
        <v/>
      </c>
      <c r="DL32">
        <f>IF(OR($B32=0,L32=""),0,DL31+1)</f>
        <v/>
      </c>
      <c r="DM32">
        <f>IF(OR($B32=0,M32=""),0,DM31+1)</f>
        <v/>
      </c>
      <c r="DN32">
        <f>IF(OR($B32=0,N32=""),0,DN31+1)</f>
        <v/>
      </c>
      <c r="DO32">
        <f>IF(OR($B32=0,O32=""),0,DO31+1)</f>
        <v/>
      </c>
      <c r="DP32">
        <f>IF(OR($B32=0,P32=""),0,DP31+1)</f>
        <v/>
      </c>
      <c r="DQ32">
        <f>IF(OR($B32=0,Q32=""),0,DQ31+1)</f>
        <v/>
      </c>
      <c r="DR32">
        <f>IF(OR($B32=0,R32=""),0,DR31+1)</f>
        <v/>
      </c>
      <c r="DS32">
        <f>IF(OR($B32=0,S32=""),0,DS31+1)</f>
        <v/>
      </c>
      <c r="DT32">
        <f>IF(OR($B32=0,T32=""),0,DT31+1)</f>
        <v/>
      </c>
      <c r="DU32">
        <f>IF(OR($B32=0,U32=""),0,DU31+1)</f>
        <v/>
      </c>
      <c r="DV32">
        <f>IF(OR($B32=0,V32=""),0,DV31+1)</f>
        <v/>
      </c>
      <c r="DW32">
        <f>'ตารางเวร'!AF$7</f>
        <v/>
      </c>
      <c r="DX32">
        <f>IF($B32=0,0,IF(WEEKDAY('ตารางเวร'!AF$6,2)=IFERROR(MATCH('ตารางเวร'!$AM$11,'ตารางเวร'!$AO$10:$AO$17,0),0),1,0))</f>
        <v/>
      </c>
    </row>
    <row r="33">
      <c r="A33" t="n">
        <v>31</v>
      </c>
      <c r="B33">
        <f>IF(31&gt;DAY(EOMONTH(DATE('ตารางเวร'!$B$3-543,'ตารางเวร'!$B$2,1),0)),0,1)</f>
        <v/>
      </c>
      <c r="C33">
        <f>IF($B33=0,"",IFERROR(TRIM(INDEX('ตารางเวร'!$C$10:$AG$29,1,$A33)),""))</f>
        <v/>
      </c>
      <c r="D33">
        <f>IF($B33=0,"",IFERROR(TRIM(INDEX('ตารางเวร'!$C$10:$AG$29,2,$A33)),""))</f>
        <v/>
      </c>
      <c r="E33">
        <f>IF($B33=0,"",IFERROR(TRIM(INDEX('ตารางเวร'!$C$10:$AG$29,3,$A33)),""))</f>
        <v/>
      </c>
      <c r="F33">
        <f>IF($B33=0,"",IFERROR(TRIM(INDEX('ตารางเวร'!$C$10:$AG$29,4,$A33)),""))</f>
        <v/>
      </c>
      <c r="G33">
        <f>IF($B33=0,"",IFERROR(TRIM(INDEX('ตารางเวร'!$C$10:$AG$29,5,$A33)),""))</f>
        <v/>
      </c>
      <c r="H33">
        <f>IF($B33=0,"",IFERROR(TRIM(INDEX('ตารางเวร'!$C$10:$AG$29,6,$A33)),""))</f>
        <v/>
      </c>
      <c r="I33">
        <f>IF($B33=0,"",IFERROR(TRIM(INDEX('ตารางเวร'!$C$10:$AG$29,7,$A33)),""))</f>
        <v/>
      </c>
      <c r="J33">
        <f>IF($B33=0,"",IFERROR(TRIM(INDEX('ตารางเวร'!$C$10:$AG$29,8,$A33)),""))</f>
        <v/>
      </c>
      <c r="K33">
        <f>IF($B33=0,"",IFERROR(TRIM(INDEX('ตารางเวร'!$C$10:$AG$29,9,$A33)),""))</f>
        <v/>
      </c>
      <c r="L33">
        <f>IF($B33=0,"",IFERROR(TRIM(INDEX('ตารางเวร'!$C$10:$AG$29,10,$A33)),""))</f>
        <v/>
      </c>
      <c r="M33">
        <f>IF($B33=0,"",IFERROR(TRIM(INDEX('ตารางเวร'!$C$10:$AG$29,11,$A33)),""))</f>
        <v/>
      </c>
      <c r="N33">
        <f>IF($B33=0,"",IFERROR(TRIM(INDEX('ตารางเวร'!$C$10:$AG$29,12,$A33)),""))</f>
        <v/>
      </c>
      <c r="O33">
        <f>IF($B33=0,"",IFERROR(TRIM(INDEX('ตารางเวร'!$C$10:$AG$29,13,$A33)),""))</f>
        <v/>
      </c>
      <c r="P33">
        <f>IF($B33=0,"",IFERROR(TRIM(INDEX('ตารางเวร'!$C$10:$AG$29,14,$A33)),""))</f>
        <v/>
      </c>
      <c r="Q33">
        <f>IF($B33=0,"",IFERROR(TRIM(INDEX('ตารางเวร'!$C$10:$AG$29,15,$A33)),""))</f>
        <v/>
      </c>
      <c r="R33">
        <f>IF($B33=0,"",IFERROR(TRIM(INDEX('ตารางเวร'!$C$10:$AG$29,16,$A33)),""))</f>
        <v/>
      </c>
      <c r="S33">
        <f>IF($B33=0,"",IFERROR(TRIM(INDEX('ตารางเวร'!$C$10:$AG$29,17,$A33)),""))</f>
        <v/>
      </c>
      <c r="T33">
        <f>IF($B33=0,"",IFERROR(TRIM(INDEX('ตารางเวร'!$C$10:$AG$29,18,$A33)),""))</f>
        <v/>
      </c>
      <c r="U33">
        <f>IF($B33=0,"",IFERROR(TRIM(INDEX('ตารางเวร'!$C$10:$AG$29,19,$A33)),""))</f>
        <v/>
      </c>
      <c r="V33">
        <f>IF($B33=0,"",IFERROR(TRIM(INDEX('ตารางเวร'!$C$10:$AG$29,20,$A33)),""))</f>
        <v/>
      </c>
      <c r="W33">
        <f>IF(AND($B33=1,C33&lt;&gt;"",ISNUMBER(FIND("*",C33))),MOD((MOD('ตารางเวร'!$B$4,9973)*7919+$A33*40289)*(1*104729+7919),99991)*100+1,999999999)</f>
        <v/>
      </c>
      <c r="X33">
        <f>IF(AND($B33=1,D33&lt;&gt;"",ISNUMBER(FIND("*",D33))),MOD((MOD('ตารางเวร'!$B$4,9973)*7919+$A33*40289)*(2*104729+7919),99991)*100+2,999999999)</f>
        <v/>
      </c>
      <c r="Y33">
        <f>IF(AND($B33=1,E33&lt;&gt;"",ISNUMBER(FIND("*",E33))),MOD((MOD('ตารางเวร'!$B$4,9973)*7919+$A33*40289)*(3*104729+7919),99991)*100+3,999999999)</f>
        <v/>
      </c>
      <c r="Z33">
        <f>IF(AND($B33=1,F33&lt;&gt;"",ISNUMBER(FIND("*",F33))),MOD((MOD('ตารางเวร'!$B$4,9973)*7919+$A33*40289)*(4*104729+7919),99991)*100+4,999999999)</f>
        <v/>
      </c>
      <c r="AA33">
        <f>IF(AND($B33=1,G33&lt;&gt;"",ISNUMBER(FIND("*",G33))),MOD((MOD('ตารางเวร'!$B$4,9973)*7919+$A33*40289)*(5*104729+7919),99991)*100+5,999999999)</f>
        <v/>
      </c>
      <c r="AB33">
        <f>IF(AND($B33=1,H33&lt;&gt;"",ISNUMBER(FIND("*",H33))),MOD((MOD('ตารางเวร'!$B$4,9973)*7919+$A33*40289)*(6*104729+7919),99991)*100+6,999999999)</f>
        <v/>
      </c>
      <c r="AC33">
        <f>IF(AND($B33=1,I33&lt;&gt;"",ISNUMBER(FIND("*",I33))),MOD((MOD('ตารางเวร'!$B$4,9973)*7919+$A33*40289)*(7*104729+7919),99991)*100+7,999999999)</f>
        <v/>
      </c>
      <c r="AD33">
        <f>IF(AND($B33=1,J33&lt;&gt;"",ISNUMBER(FIND("*",J33))),MOD((MOD('ตารางเวร'!$B$4,9973)*7919+$A33*40289)*(8*104729+7919),99991)*100+8,999999999)</f>
        <v/>
      </c>
      <c r="AE33">
        <f>IF(AND($B33=1,K33&lt;&gt;"",ISNUMBER(FIND("*",K33))),MOD((MOD('ตารางเวร'!$B$4,9973)*7919+$A33*40289)*(9*104729+7919),99991)*100+9,999999999)</f>
        <v/>
      </c>
      <c r="AF33">
        <f>IF(AND($B33=1,L33&lt;&gt;"",ISNUMBER(FIND("*",L33))),MOD((MOD('ตารางเวร'!$B$4,9973)*7919+$A33*40289)*(10*104729+7919),99991)*100+10,999999999)</f>
        <v/>
      </c>
      <c r="AG33">
        <f>IF(AND($B33=1,M33&lt;&gt;"",ISNUMBER(FIND("*",M33))),MOD((MOD('ตารางเวร'!$B$4,9973)*7919+$A33*40289)*(11*104729+7919),99991)*100+11,999999999)</f>
        <v/>
      </c>
      <c r="AH33">
        <f>IF(AND($B33=1,N33&lt;&gt;"",ISNUMBER(FIND("*",N33))),MOD((MOD('ตารางเวร'!$B$4,9973)*7919+$A33*40289)*(12*104729+7919),99991)*100+12,999999999)</f>
        <v/>
      </c>
      <c r="AI33">
        <f>IF(AND($B33=1,O33&lt;&gt;"",ISNUMBER(FIND("*",O33))),MOD((MOD('ตารางเวร'!$B$4,9973)*7919+$A33*40289)*(13*104729+7919),99991)*100+13,999999999)</f>
        <v/>
      </c>
      <c r="AJ33">
        <f>IF(AND($B33=1,P33&lt;&gt;"",ISNUMBER(FIND("*",P33))),MOD((MOD('ตารางเวร'!$B$4,9973)*7919+$A33*40289)*(14*104729+7919),99991)*100+14,999999999)</f>
        <v/>
      </c>
      <c r="AK33">
        <f>IF(AND($B33=1,Q33&lt;&gt;"",ISNUMBER(FIND("*",Q33))),MOD((MOD('ตารางเวร'!$B$4,9973)*7919+$A33*40289)*(15*104729+7919),99991)*100+15,999999999)</f>
        <v/>
      </c>
      <c r="AL33">
        <f>IF(AND($B33=1,R33&lt;&gt;"",ISNUMBER(FIND("*",R33))),MOD((MOD('ตารางเวร'!$B$4,9973)*7919+$A33*40289)*(16*104729+7919),99991)*100+16,999999999)</f>
        <v/>
      </c>
      <c r="AM33">
        <f>IF(AND($B33=1,S33&lt;&gt;"",ISNUMBER(FIND("*",S33))),MOD((MOD('ตารางเวร'!$B$4,9973)*7919+$A33*40289)*(17*104729+7919),99991)*100+17,999999999)</f>
        <v/>
      </c>
      <c r="AN33">
        <f>IF(AND($B33=1,T33&lt;&gt;"",ISNUMBER(FIND("*",T33))),MOD((MOD('ตารางเวร'!$B$4,9973)*7919+$A33*40289)*(18*104729+7919),99991)*100+18,999999999)</f>
        <v/>
      </c>
      <c r="AO33">
        <f>IF(AND($B33=1,U33&lt;&gt;"",ISNUMBER(FIND("*",U33))),MOD((MOD('ตารางเวร'!$B$4,9973)*7919+$A33*40289)*(19*104729+7919),99991)*100+19,999999999)</f>
        <v/>
      </c>
      <c r="AP33">
        <f>IF(AND($B33=1,V33&lt;&gt;"",ISNUMBER(FIND("*",V33))),MOD((MOD('ตารางเวร'!$B$4,9973)*7919+$A33*40289)*(20*104729+7919),99991)*100+20,999999999)</f>
        <v/>
      </c>
      <c r="AQ33">
        <f>IF(TRIM('ตารางเวร'!$B$10)&lt;&gt;"",999999999,W33)</f>
        <v/>
      </c>
      <c r="AR33">
        <f>IF(TRIM('ตารางเวร'!$B$11)&lt;&gt;"",999999999,X33)</f>
        <v/>
      </c>
      <c r="AS33">
        <f>IF(TRIM('ตารางเวร'!$B$12)&lt;&gt;"",999999999,Y33)</f>
        <v/>
      </c>
      <c r="AT33">
        <f>IF(TRIM('ตารางเวร'!$B$13)&lt;&gt;"",999999999,Z33)</f>
        <v/>
      </c>
      <c r="AU33">
        <f>IF(TRIM('ตารางเวร'!$B$14)&lt;&gt;"",999999999,AA33)</f>
        <v/>
      </c>
      <c r="AV33">
        <f>IF(TRIM('ตารางเวร'!$B$15)&lt;&gt;"",999999999,AB33)</f>
        <v/>
      </c>
      <c r="AW33">
        <f>IF(TRIM('ตารางเวร'!$B$16)&lt;&gt;"",999999999,AC33)</f>
        <v/>
      </c>
      <c r="AX33">
        <f>IF(TRIM('ตารางเวร'!$B$17)&lt;&gt;"",999999999,AD33)</f>
        <v/>
      </c>
      <c r="AY33">
        <f>IF(TRIM('ตารางเวร'!$B$18)&lt;&gt;"",999999999,AE33)</f>
        <v/>
      </c>
      <c r="AZ33">
        <f>IF(TRIM('ตารางเวร'!$B$19)&lt;&gt;"",999999999,AF33)</f>
        <v/>
      </c>
      <c r="BA33">
        <f>IF(TRIM('ตารางเวร'!$B$20)&lt;&gt;"",999999999,AG33)</f>
        <v/>
      </c>
      <c r="BB33">
        <f>IF(TRIM('ตารางเวร'!$B$21)&lt;&gt;"",999999999,AH33)</f>
        <v/>
      </c>
      <c r="BC33">
        <f>IF(TRIM('ตารางเวร'!$B$22)&lt;&gt;"",999999999,AI33)</f>
        <v/>
      </c>
      <c r="BD33">
        <f>IF(TRIM('ตารางเวร'!$B$23)&lt;&gt;"",999999999,AJ33)</f>
        <v/>
      </c>
      <c r="BE33">
        <f>IF(TRIM('ตารางเวร'!$B$24)&lt;&gt;"",999999999,AK33)</f>
        <v/>
      </c>
      <c r="BF33">
        <f>IF(TRIM('ตารางเวร'!$B$25)&lt;&gt;"",999999999,AL33)</f>
        <v/>
      </c>
      <c r="BG33">
        <f>IF(TRIM('ตารางเวร'!$B$26)&lt;&gt;"",999999999,AM33)</f>
        <v/>
      </c>
      <c r="BH33">
        <f>IF(TRIM('ตารางเวร'!$B$27)&lt;&gt;"",999999999,AN33)</f>
        <v/>
      </c>
      <c r="BI33">
        <f>IF(TRIM('ตารางเวร'!$B$28)&lt;&gt;"",999999999,AO33)</f>
        <v/>
      </c>
      <c r="BJ33">
        <f>IF(TRIM('ตารางเวร'!$B$29)&lt;&gt;"",999999999,AP33)</f>
        <v/>
      </c>
      <c r="BK33">
        <f>IF(AND($B33=1,C33&lt;&gt;"",NOT(ISNUMBER(FIND("*",C33)))),1,999999)</f>
        <v/>
      </c>
      <c r="BL33">
        <f>IF(AND($B33=1,D33&lt;&gt;"",NOT(ISNUMBER(FIND("*",D33)))),2,999999)</f>
        <v/>
      </c>
      <c r="BM33">
        <f>IF(AND($B33=1,E33&lt;&gt;"",NOT(ISNUMBER(FIND("*",E33)))),3,999999)</f>
        <v/>
      </c>
      <c r="BN33">
        <f>IF(AND($B33=1,F33&lt;&gt;"",NOT(ISNUMBER(FIND("*",F33)))),4,999999)</f>
        <v/>
      </c>
      <c r="BO33">
        <f>IF(AND($B33=1,G33&lt;&gt;"",NOT(ISNUMBER(FIND("*",G33)))),5,999999)</f>
        <v/>
      </c>
      <c r="BP33">
        <f>IF(AND($B33=1,H33&lt;&gt;"",NOT(ISNUMBER(FIND("*",H33)))),6,999999)</f>
        <v/>
      </c>
      <c r="BQ33">
        <f>IF(AND($B33=1,I33&lt;&gt;"",NOT(ISNUMBER(FIND("*",I33)))),7,999999)</f>
        <v/>
      </c>
      <c r="BR33">
        <f>IF(AND($B33=1,J33&lt;&gt;"",NOT(ISNUMBER(FIND("*",J33)))),8,999999)</f>
        <v/>
      </c>
      <c r="BS33">
        <f>IF(AND($B33=1,K33&lt;&gt;"",NOT(ISNUMBER(FIND("*",K33)))),9,999999)</f>
        <v/>
      </c>
      <c r="BT33">
        <f>IF(AND($B33=1,L33&lt;&gt;"",NOT(ISNUMBER(FIND("*",L33)))),10,999999)</f>
        <v/>
      </c>
      <c r="BU33">
        <f>IF(AND($B33=1,M33&lt;&gt;"",NOT(ISNUMBER(FIND("*",M33)))),11,999999)</f>
        <v/>
      </c>
      <c r="BV33">
        <f>IF(AND($B33=1,N33&lt;&gt;"",NOT(ISNUMBER(FIND("*",N33)))),12,999999)</f>
        <v/>
      </c>
      <c r="BW33">
        <f>IF(AND($B33=1,O33&lt;&gt;"",NOT(ISNUMBER(FIND("*",O33)))),13,999999)</f>
        <v/>
      </c>
      <c r="BX33">
        <f>IF(AND($B33=1,P33&lt;&gt;"",NOT(ISNUMBER(FIND("*",P33)))),14,999999)</f>
        <v/>
      </c>
      <c r="BY33">
        <f>IF(AND($B33=1,Q33&lt;&gt;"",NOT(ISNUMBER(FIND("*",Q33)))),15,999999)</f>
        <v/>
      </c>
      <c r="BZ33">
        <f>IF(AND($B33=1,R33&lt;&gt;"",NOT(ISNUMBER(FIND("*",R33)))),16,999999)</f>
        <v/>
      </c>
      <c r="CA33">
        <f>IF(AND($B33=1,S33&lt;&gt;"",NOT(ISNUMBER(FIND("*",S33)))),17,999999)</f>
        <v/>
      </c>
      <c r="CB33">
        <f>IF(AND($B33=1,T33&lt;&gt;"",NOT(ISNUMBER(FIND("*",T33)))),18,999999)</f>
        <v/>
      </c>
      <c r="CC33">
        <f>IF(AND($B33=1,U33&lt;&gt;"",NOT(ISNUMBER(FIND("*",U33)))),19,999999)</f>
        <v/>
      </c>
      <c r="CD33">
        <f>IF(AND($B33=1,V33&lt;&gt;"",NOT(ISNUMBER(FIND("*",V33)))),20,999999)</f>
        <v/>
      </c>
      <c r="CE33">
        <f>IF(MIN(AQ33:BJ33)&gt;=999999999,0,MATCH(MIN(AQ33:BJ33),AQ33:BJ33,0))</f>
        <v/>
      </c>
      <c r="CF33">
        <f>IF($CE33=1,999999999,W33)</f>
        <v/>
      </c>
      <c r="CG33">
        <f>IF($CE33=2,999999999,X33)</f>
        <v/>
      </c>
      <c r="CH33">
        <f>IF($CE33=3,999999999,Y33)</f>
        <v/>
      </c>
      <c r="CI33">
        <f>IF($CE33=4,999999999,Z33)</f>
        <v/>
      </c>
      <c r="CJ33">
        <f>IF($CE33=5,999999999,AA33)</f>
        <v/>
      </c>
      <c r="CK33">
        <f>IF($CE33=6,999999999,AB33)</f>
        <v/>
      </c>
      <c r="CL33">
        <f>IF($CE33=7,999999999,AC33)</f>
        <v/>
      </c>
      <c r="CM33">
        <f>IF($CE33=8,999999999,AD33)</f>
        <v/>
      </c>
      <c r="CN33">
        <f>IF($CE33=9,999999999,AE33)</f>
        <v/>
      </c>
      <c r="CO33">
        <f>IF($CE33=10,999999999,AF33)</f>
        <v/>
      </c>
      <c r="CP33">
        <f>IF($CE33=11,999999999,AG33)</f>
        <v/>
      </c>
      <c r="CQ33">
        <f>IF($CE33=12,999999999,AH33)</f>
        <v/>
      </c>
      <c r="CR33">
        <f>IF($CE33=13,999999999,AI33)</f>
        <v/>
      </c>
      <c r="CS33">
        <f>IF($CE33=14,999999999,AJ33)</f>
        <v/>
      </c>
      <c r="CT33">
        <f>IF($CE33=15,999999999,AK33)</f>
        <v/>
      </c>
      <c r="CU33">
        <f>IF($CE33=16,999999999,AL33)</f>
        <v/>
      </c>
      <c r="CV33">
        <f>IF($CE33=17,999999999,AM33)</f>
        <v/>
      </c>
      <c r="CW33">
        <f>IF($CE33=18,999999999,AN33)</f>
        <v/>
      </c>
      <c r="CX33">
        <f>IF($CE33=19,999999999,AO33)</f>
        <v/>
      </c>
      <c r="CY33">
        <f>IF($CE33=20,999999999,AP33)</f>
        <v/>
      </c>
      <c r="CZ33">
        <f>COUNTIF(W33:AP33,"&lt;999999999")</f>
        <v/>
      </c>
      <c r="DA33">
        <f>COUNTIF(BK33:CD33,"&lt;999999")</f>
        <v/>
      </c>
      <c r="DB33">
        <f>$CZ33-IF($CE33&gt;0,1,0)</f>
        <v/>
      </c>
      <c r="DC33">
        <f>IF(OR($B33=0,C33=""),0,DC32+1)</f>
        <v/>
      </c>
      <c r="DD33">
        <f>IF(OR($B33=0,D33=""),0,DD32+1)</f>
        <v/>
      </c>
      <c r="DE33">
        <f>IF(OR($B33=0,E33=""),0,DE32+1)</f>
        <v/>
      </c>
      <c r="DF33">
        <f>IF(OR($B33=0,F33=""),0,DF32+1)</f>
        <v/>
      </c>
      <c r="DG33">
        <f>IF(OR($B33=0,G33=""),0,DG32+1)</f>
        <v/>
      </c>
      <c r="DH33">
        <f>IF(OR($B33=0,H33=""),0,DH32+1)</f>
        <v/>
      </c>
      <c r="DI33">
        <f>IF(OR($B33=0,I33=""),0,DI32+1)</f>
        <v/>
      </c>
      <c r="DJ33">
        <f>IF(OR($B33=0,J33=""),0,DJ32+1)</f>
        <v/>
      </c>
      <c r="DK33">
        <f>IF(OR($B33=0,K33=""),0,DK32+1)</f>
        <v/>
      </c>
      <c r="DL33">
        <f>IF(OR($B33=0,L33=""),0,DL32+1)</f>
        <v/>
      </c>
      <c r="DM33">
        <f>IF(OR($B33=0,M33=""),0,DM32+1)</f>
        <v/>
      </c>
      <c r="DN33">
        <f>IF(OR($B33=0,N33=""),0,DN32+1)</f>
        <v/>
      </c>
      <c r="DO33">
        <f>IF(OR($B33=0,O33=""),0,DO32+1)</f>
        <v/>
      </c>
      <c r="DP33">
        <f>IF(OR($B33=0,P33=""),0,DP32+1)</f>
        <v/>
      </c>
      <c r="DQ33">
        <f>IF(OR($B33=0,Q33=""),0,DQ32+1)</f>
        <v/>
      </c>
      <c r="DR33">
        <f>IF(OR($B33=0,R33=""),0,DR32+1)</f>
        <v/>
      </c>
      <c r="DS33">
        <f>IF(OR($B33=0,S33=""),0,DS32+1)</f>
        <v/>
      </c>
      <c r="DT33">
        <f>IF(OR($B33=0,T33=""),0,DT32+1)</f>
        <v/>
      </c>
      <c r="DU33">
        <f>IF(OR($B33=0,U33=""),0,DU32+1)</f>
        <v/>
      </c>
      <c r="DV33">
        <f>IF(OR($B33=0,V33=""),0,DV32+1)</f>
        <v/>
      </c>
      <c r="DW33">
        <f>'ตารางเวร'!AG$7</f>
        <v/>
      </c>
      <c r="DX33">
        <f>IF($B33=0,0,IF(WEEKDAY('ตารางเวร'!AG$6,2)=IFERROR(MATCH('ตารางเวร'!$AM$11,'ตารางเวร'!$AO$10:$AO$17,0),0),1,0))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22" customWidth="1" min="15" max="15"/>
  </cols>
  <sheetData>
    <row r="1">
      <c r="A1" s="17">
        <f>" ใบจัดเวรรายวัน   เดือน "&amp;CHOOSE('ตารางเวร'!$B$2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 "&amp;'ตารางเวร'!$B$3</f>
        <v/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</row>
    <row r="2">
      <c r="C2" s="18" t="inlineStr">
        <is>
          <t>P2  (ฝั่งซ้าย)</t>
        </is>
      </c>
      <c r="D2" s="18" t="n"/>
      <c r="E2" s="18" t="n"/>
      <c r="F2" s="18" t="n"/>
      <c r="G2" s="18" t="n"/>
      <c r="H2" s="18" t="n"/>
      <c r="I2" s="18" t="n"/>
      <c r="J2" s="18" t="n"/>
      <c r="K2" s="19" t="inlineStr">
        <is>
          <t>P1  (ฝั่งขวา)</t>
        </is>
      </c>
      <c r="L2" s="19" t="n"/>
      <c r="M2" s="19" t="n"/>
      <c r="N2" s="19" t="n"/>
    </row>
    <row r="3">
      <c r="A3" s="9" t="inlineStr">
        <is>
          <t>วันที่</t>
        </is>
      </c>
      <c r="B3" s="9" t="inlineStr">
        <is>
          <t>วัน</t>
        </is>
      </c>
      <c r="C3" s="9" t="inlineStr"/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20">
        <f>'ตารางเวร'!$AM$14</f>
        <v/>
      </c>
      <c r="L3" s="21">
        <f>'ตารางเวร'!$AM$15</f>
        <v/>
      </c>
      <c r="M3" s="22">
        <f>'ตารางเวร'!$AM$16</f>
        <v/>
      </c>
      <c r="N3" s="23">
        <f>'ตารางเวร'!$AM$17</f>
        <v/>
      </c>
      <c r="O3" s="9" t="inlineStr">
        <is>
          <t>⚠️ เกินช่อง</t>
        </is>
      </c>
    </row>
    <row r="4">
      <c r="A4" s="15">
        <f>IF('คำนวณ'!$B3=0,"",'คำนวณ'!$A3)</f>
        <v/>
      </c>
      <c r="B4" s="15">
        <f>IF('คำนวณ'!$B3=0,"",'ตารางเวร'!C$9)</f>
        <v/>
      </c>
      <c r="C4" s="24">
        <f>IF('คำนวณ'!$B3=0,"",IF(SMALL('คำนวณ'!$BK3:$CD3,1)&gt;=999999,"",INDEX('ตารางเวร'!$A$10:$A$29,SMALL('คำนวณ'!$BK3:$CD3,1))&amp;IF(UPPER(SUBSTITUTE(INDEX('คำนวณ'!$C3:$V3,SMALL('คำนวณ'!$BK3:$CD3,1)),"*",""))="D","(D)","")))</f>
        <v/>
      </c>
      <c r="D4" s="24">
        <f>IF('คำนวณ'!$B3=0,"",IF(SMALL('คำนวณ'!$BK3:$CD3,2)&gt;=999999,"",INDEX('ตารางเวร'!$A$10:$A$29,SMALL('คำนวณ'!$BK3:$CD3,2))&amp;IF(UPPER(SUBSTITUTE(INDEX('คำนวณ'!$C3:$V3,SMALL('คำนวณ'!$BK3:$CD3,2)),"*",""))="D","(D)","")))</f>
        <v/>
      </c>
      <c r="E4" s="24">
        <f>IF('คำนวณ'!$B3=0,"",IF(SMALL('คำนวณ'!$BK3:$CD3,3)&gt;=999999,"",INDEX('ตารางเวร'!$A$10:$A$29,SMALL('คำนวณ'!$BK3:$CD3,3))&amp;IF(UPPER(SUBSTITUTE(INDEX('คำนวณ'!$C3:$V3,SMALL('คำนวณ'!$BK3:$CD3,3)),"*",""))="D","(D)","")))</f>
        <v/>
      </c>
      <c r="F4" s="24">
        <f>IF('คำนวณ'!$B3=0,"",IF(SMALL('คำนวณ'!$BK3:$CD3,4)&gt;=999999,"",INDEX('ตารางเวร'!$A$10:$A$29,SMALL('คำนวณ'!$BK3:$CD3,4))&amp;IF(UPPER(SUBSTITUTE(INDEX('คำนวณ'!$C3:$V3,SMALL('คำนวณ'!$BK3:$CD3,4)),"*",""))="D","(D)","")))</f>
        <v/>
      </c>
      <c r="G4" s="24">
        <f>IF('คำนวณ'!$B3=0,"",IF(SMALL('คำนวณ'!$BK3:$CD3,5)&gt;=999999,"",INDEX('ตารางเวร'!$A$10:$A$29,SMALL('คำนวณ'!$BK3:$CD3,5))&amp;IF(UPPER(SUBSTITUTE(INDEX('คำนวณ'!$C3:$V3,SMALL('คำนวณ'!$BK3:$CD3,5)),"*",""))="D","(D)","")))</f>
        <v/>
      </c>
      <c r="H4" s="24">
        <f>IF('คำนวณ'!$B3=0,"",IF(SMALL('คำนวณ'!$BK3:$CD3,6)&gt;=999999,"",INDEX('ตารางเวร'!$A$10:$A$29,SMALL('คำนวณ'!$BK3:$CD3,6))&amp;IF(UPPER(SUBSTITUTE(INDEX('คำนวณ'!$C3:$V3,SMALL('คำนวณ'!$BK3:$CD3,6)),"*",""))="D","(D)","")))</f>
        <v/>
      </c>
      <c r="I4" s="24">
        <f>IF('คำนวณ'!$B3=0,"",IF(SMALL('คำนวณ'!$BK3:$CD3,7)&gt;=999999,"",INDEX('ตารางเวร'!$A$10:$A$29,SMALL('คำนวณ'!$BK3:$CD3,7))&amp;IF(UPPER(SUBSTITUTE(INDEX('คำนวณ'!$C3:$V3,SMALL('คำนวณ'!$BK3:$CD3,7)),"*",""))="D","(D)","")))</f>
        <v/>
      </c>
      <c r="J4" s="24">
        <f>IF('คำนวณ'!$B3=0,"",IF(SMALL('คำนวณ'!$BK3:$CD3,8)&gt;=999999,"",INDEX('ตารางเวร'!$A$10:$A$29,SMALL('คำนวณ'!$BK3:$CD3,8))&amp;IF(UPPER(SUBSTITUTE(INDEX('คำนวณ'!$C3:$V3,SMALL('คำนวณ'!$BK3:$CD3,8)),"*",""))="D","(D)","")))</f>
        <v/>
      </c>
      <c r="K4" s="25">
        <f>IF(OR('คำนวณ'!$B3=0,'คำนวณ'!$CE3=0),"",INDEX('ตารางเวร'!$A$10:$A$29,'คำนวณ'!$CE3)&amp;IF(AND(TRIM('ตารางเวร'!$B$5)&lt;&gt;"",UPPER(SUBSTITUTE(INDEX('คำนวณ'!$C3:$V3,'คำนวณ'!$CE3),"*",""))="D"),"(D)",""))</f>
        <v/>
      </c>
      <c r="L4" s="26">
        <f>IF('คำนวณ'!$B3=0,"",IF('คำนวณ'!$DB3=2,"",IF(SMALL('คำนวณ'!$CF3:$CY3,1)&gt;=999999999,"",INDEX('ตารางเวร'!$A$10:$A$29,MATCH(SMALL('คำนวณ'!$CF3:$CY3,1),'คำนวณ'!$CF3:$CY3,0))&amp;IF(AND(TRIM('ตารางเวร'!$B$5)&lt;&gt;"",UPPER(SUBSTITUTE(INDEX('คำนวณ'!$C3:$V3,MATCH(SMALL('คำนวณ'!$CF3:$CY3,1),'คำนวณ'!$CF3:$CY3,0)),"*",""))="D"),"(D)",""))))</f>
        <v/>
      </c>
      <c r="M4" s="27">
        <f>IF('คำนวณ'!$B3=0,"",IF('คำนวณ'!$DB3=2,IF(SMALL('คำนวณ'!$CF3:$CY3,1)&gt;=999999999,"",INDEX('ตารางเวร'!$A$10:$A$29,MATCH(SMALL('คำนวณ'!$CF3:$CY3,1),'คำนวณ'!$CF3:$CY3,0))&amp;IF(AND(TRIM('ตารางเวร'!$B$5)&lt;&gt;"",UPPER(SUBSTITUTE(INDEX('คำนวณ'!$C3:$V3,MATCH(SMALL('คำนวณ'!$CF3:$CY3,1),'คำนวณ'!$CF3:$CY3,0)),"*",""))="D"),"(D)","")),IF(SMALL('คำนวณ'!$CF3:$CY3,2)&gt;=999999999,"",INDEX('ตารางเวร'!$A$10:$A$29,MATCH(SMALL('คำนวณ'!$CF3:$CY3,2),'คำนวณ'!$CF3:$CY3,0))&amp;IF(AND(TRIM('ตารางเวร'!$B$5)&lt;&gt;"",UPPER(SUBSTITUTE(INDEX('คำนวณ'!$C3:$V3,MATCH(SMALL('คำนวณ'!$CF3:$CY3,2),'คำนวณ'!$CF3:$CY3,0)),"*",""))="D"),"(D)",""))))</f>
        <v/>
      </c>
      <c r="N4" s="28">
        <f>IF('คำนวณ'!$B3=0,"",IF('คำนวณ'!$DB3=2,IF(SMALL('คำนวณ'!$CF3:$CY3,2)&gt;=999999999,"",INDEX('ตารางเวร'!$A$10:$A$29,MATCH(SMALL('คำนวณ'!$CF3:$CY3,2),'คำนวณ'!$CF3:$CY3,0))&amp;IF(AND(TRIM('ตารางเวร'!$B$5)&lt;&gt;"",UPPER(SUBSTITUTE(INDEX('คำนวณ'!$C3:$V3,MATCH(SMALL('คำนวณ'!$CF3:$CY3,2),'คำนวณ'!$CF3:$CY3,0)),"*",""))="D"),"(D)","")),IF(SMALL('คำนวณ'!$CF3:$CY3,3)&gt;=999999999,"",INDEX('ตารางเวร'!$A$10:$A$29,MATCH(SMALL('คำนวณ'!$CF3:$CY3,3),'คำนวณ'!$CF3:$CY3,0))&amp;IF(AND(TRIM('ตารางเวร'!$B$5)&lt;&gt;"",UPPER(SUBSTITUTE(INDEX('คำนวณ'!$C3:$V3,MATCH(SMALL('คำนวณ'!$CF3:$CY3,3),'คำนวณ'!$CF3:$CY3,0)),"*",""))="D"),"(D)",""))))</f>
        <v/>
      </c>
      <c r="O4" s="29">
        <f>IF('คำนวณ'!$B3=0,"",TRIM(IF(SMALL('คำนวณ'!$CF3:$CY3,4)&gt;=999999999,"","  "&amp;INDEX('ตารางเวร'!$A$10:$A$29,MATCH(SMALL('คำนวณ'!$CF3:$CY3,4),'คำนวณ'!$CF3:$CY3,0))&amp;IF(AND(TRIM('ตารางเวร'!$B$5)&lt;&gt;"",UPPER(SUBSTITUTE(INDEX('คำนวณ'!$C3:$V3,MATCH(SMALL('คำนวณ'!$CF3:$CY3,4),'คำนวณ'!$CF3:$CY3,0)),"*",""))="D"),"(D)",""))&amp;IF(SMALL('คำนวณ'!$CF3:$CY3,5)&gt;=999999999,"","  "&amp;INDEX('ตารางเวร'!$A$10:$A$29,MATCH(SMALL('คำนวณ'!$CF3:$CY3,5),'คำนวณ'!$CF3:$CY3,0))&amp;IF(AND(TRIM('ตารางเวร'!$B$5)&lt;&gt;"",UPPER(SUBSTITUTE(INDEX('คำนวณ'!$C3:$V3,MATCH(SMALL('คำนวณ'!$CF3:$CY3,5),'คำนวณ'!$CF3:$CY3,0)),"*",""))="D"),"(D)",""))&amp;IF(SMALL('คำนวณ'!$CF3:$CY3,6)&gt;=999999999,"","  "&amp;INDEX('ตารางเวร'!$A$10:$A$29,MATCH(SMALL('คำนวณ'!$CF3:$CY3,6),'คำนวณ'!$CF3:$CY3,0))&amp;IF(AND(TRIM('ตารางเวร'!$B$5)&lt;&gt;"",UPPER(SUBSTITUTE(INDEX('คำนวณ'!$C3:$V3,MATCH(SMALL('คำนวณ'!$CF3:$CY3,6),'คำนวณ'!$CF3:$CY3,0)),"*",""))="D"),"(D)",""))&amp;IF(SMALL('คำนวณ'!$CF3:$CY3,7)&gt;=999999999,"","  "&amp;INDEX('ตารางเวร'!$A$10:$A$29,MATCH(SMALL('คำนวณ'!$CF3:$CY3,7),'คำนวณ'!$CF3:$CY3,0))&amp;IF(AND(TRIM('ตารางเวร'!$B$5)&lt;&gt;"",UPPER(SUBSTITUTE(INDEX('คำนวณ'!$C3:$V3,MATCH(SMALL('คำนวณ'!$CF3:$CY3,7),'คำนวณ'!$CF3:$CY3,0)),"*",""))="D"),"(D)",""))&amp;IF(SMALL('คำนวณ'!$BK3:$CD3,9)&gt;=999999,"","  "&amp;INDEX('ตารางเวร'!$A$10:$A$29,SMALL('คำนวณ'!$BK3:$CD3,9))&amp;IF(UPPER(SUBSTITUTE(INDEX('คำนวณ'!$C3:$V3,SMALL('คำนวณ'!$BK3:$CD3,9)),"*",""))="D","(D)",""))&amp;IF(SMALL('คำนวณ'!$BK3:$CD3,10)&gt;=999999,"","  "&amp;INDEX('ตารางเวร'!$A$10:$A$29,SMALL('คำนวณ'!$BK3:$CD3,10))&amp;IF(UPPER(SUBSTITUTE(INDEX('คำนวณ'!$C3:$V3,SMALL('คำนวณ'!$BK3:$CD3,10)),"*",""))="D","(D)",""))&amp;IF(SMALL('คำนวณ'!$BK3:$CD3,11)&gt;=999999,"","  "&amp;INDEX('ตารางเวร'!$A$10:$A$29,SMALL('คำนวณ'!$BK3:$CD3,11))&amp;IF(UPPER(SUBSTITUTE(INDEX('คำนวณ'!$C3:$V3,SMALL('คำนวณ'!$BK3:$CD3,11)),"*",""))="D","(D)",""))&amp;IF(SMALL('คำนวณ'!$BK3:$CD3,12)&gt;=999999,"","  "&amp;INDEX('ตารางเวร'!$A$10:$A$29,SMALL('คำนวณ'!$BK3:$CD3,12))&amp;IF(UPPER(SUBSTITUTE(INDEX('คำนวณ'!$C3:$V3,SMALL('คำนวณ'!$BK3:$CD3,12)),"*",""))="D","(D)",""))))</f>
        <v/>
      </c>
    </row>
    <row r="5">
      <c r="A5" s="15">
        <f>IF('คำนวณ'!$B4=0,"",'คำนวณ'!$A4)</f>
        <v/>
      </c>
      <c r="B5" s="15">
        <f>IF('คำนวณ'!$B4=0,"",'ตารางเวร'!D$9)</f>
        <v/>
      </c>
      <c r="C5" s="24">
        <f>IF('คำนวณ'!$B4=0,"",IF(SMALL('คำนวณ'!$BK4:$CD4,1)&gt;=999999,"",INDEX('ตารางเวร'!$A$10:$A$29,SMALL('คำนวณ'!$BK4:$CD4,1))&amp;IF(UPPER(SUBSTITUTE(INDEX('คำนวณ'!$C4:$V4,SMALL('คำนวณ'!$BK4:$CD4,1)),"*",""))="D","(D)","")))</f>
        <v/>
      </c>
      <c r="D5" s="24">
        <f>IF('คำนวณ'!$B4=0,"",IF(SMALL('คำนวณ'!$BK4:$CD4,2)&gt;=999999,"",INDEX('ตารางเวร'!$A$10:$A$29,SMALL('คำนวณ'!$BK4:$CD4,2))&amp;IF(UPPER(SUBSTITUTE(INDEX('คำนวณ'!$C4:$V4,SMALL('คำนวณ'!$BK4:$CD4,2)),"*",""))="D","(D)","")))</f>
        <v/>
      </c>
      <c r="E5" s="24">
        <f>IF('คำนวณ'!$B4=0,"",IF(SMALL('คำนวณ'!$BK4:$CD4,3)&gt;=999999,"",INDEX('ตารางเวร'!$A$10:$A$29,SMALL('คำนวณ'!$BK4:$CD4,3))&amp;IF(UPPER(SUBSTITUTE(INDEX('คำนวณ'!$C4:$V4,SMALL('คำนวณ'!$BK4:$CD4,3)),"*",""))="D","(D)","")))</f>
        <v/>
      </c>
      <c r="F5" s="24">
        <f>IF('คำนวณ'!$B4=0,"",IF(SMALL('คำนวณ'!$BK4:$CD4,4)&gt;=999999,"",INDEX('ตารางเวร'!$A$10:$A$29,SMALL('คำนวณ'!$BK4:$CD4,4))&amp;IF(UPPER(SUBSTITUTE(INDEX('คำนวณ'!$C4:$V4,SMALL('คำนวณ'!$BK4:$CD4,4)),"*",""))="D","(D)","")))</f>
        <v/>
      </c>
      <c r="G5" s="24">
        <f>IF('คำนวณ'!$B4=0,"",IF(SMALL('คำนวณ'!$BK4:$CD4,5)&gt;=999999,"",INDEX('ตารางเวร'!$A$10:$A$29,SMALL('คำนวณ'!$BK4:$CD4,5))&amp;IF(UPPER(SUBSTITUTE(INDEX('คำนวณ'!$C4:$V4,SMALL('คำนวณ'!$BK4:$CD4,5)),"*",""))="D","(D)","")))</f>
        <v/>
      </c>
      <c r="H5" s="24">
        <f>IF('คำนวณ'!$B4=0,"",IF(SMALL('คำนวณ'!$BK4:$CD4,6)&gt;=999999,"",INDEX('ตารางเวร'!$A$10:$A$29,SMALL('คำนวณ'!$BK4:$CD4,6))&amp;IF(UPPER(SUBSTITUTE(INDEX('คำนวณ'!$C4:$V4,SMALL('คำนวณ'!$BK4:$CD4,6)),"*",""))="D","(D)","")))</f>
        <v/>
      </c>
      <c r="I5" s="24">
        <f>IF('คำนวณ'!$B4=0,"",IF(SMALL('คำนวณ'!$BK4:$CD4,7)&gt;=999999,"",INDEX('ตารางเวร'!$A$10:$A$29,SMALL('คำนวณ'!$BK4:$CD4,7))&amp;IF(UPPER(SUBSTITUTE(INDEX('คำนวณ'!$C4:$V4,SMALL('คำนวณ'!$BK4:$CD4,7)),"*",""))="D","(D)","")))</f>
        <v/>
      </c>
      <c r="J5" s="24">
        <f>IF('คำนวณ'!$B4=0,"",IF(SMALL('คำนวณ'!$BK4:$CD4,8)&gt;=999999,"",INDEX('ตารางเวร'!$A$10:$A$29,SMALL('คำนวณ'!$BK4:$CD4,8))&amp;IF(UPPER(SUBSTITUTE(INDEX('คำนวณ'!$C4:$V4,SMALL('คำนวณ'!$BK4:$CD4,8)),"*",""))="D","(D)","")))</f>
        <v/>
      </c>
      <c r="K5" s="25">
        <f>IF(OR('คำนวณ'!$B4=0,'คำนวณ'!$CE4=0),"",INDEX('ตารางเวร'!$A$10:$A$29,'คำนวณ'!$CE4)&amp;IF(AND(TRIM('ตารางเวร'!$B$5)&lt;&gt;"",UPPER(SUBSTITUTE(INDEX('คำนวณ'!$C4:$V4,'คำนวณ'!$CE4),"*",""))="D"),"(D)",""))</f>
        <v/>
      </c>
      <c r="L5" s="26">
        <f>IF('คำนวณ'!$B4=0,"",IF('คำนวณ'!$DB4=2,"",IF(SMALL('คำนวณ'!$CF4:$CY4,1)&gt;=999999999,"",INDEX('ตารางเวร'!$A$10:$A$29,MATCH(SMALL('คำนวณ'!$CF4:$CY4,1),'คำนวณ'!$CF4:$CY4,0))&amp;IF(AND(TRIM('ตารางเวร'!$B$5)&lt;&gt;"",UPPER(SUBSTITUTE(INDEX('คำนวณ'!$C4:$V4,MATCH(SMALL('คำนวณ'!$CF4:$CY4,1),'คำนวณ'!$CF4:$CY4,0)),"*",""))="D"),"(D)",""))))</f>
        <v/>
      </c>
      <c r="M5" s="27">
        <f>IF('คำนวณ'!$B4=0,"",IF('คำนวณ'!$DB4=2,IF(SMALL('คำนวณ'!$CF4:$CY4,1)&gt;=999999999,"",INDEX('ตารางเวร'!$A$10:$A$29,MATCH(SMALL('คำนวณ'!$CF4:$CY4,1),'คำนวณ'!$CF4:$CY4,0))&amp;IF(AND(TRIM('ตารางเวร'!$B$5)&lt;&gt;"",UPPER(SUBSTITUTE(INDEX('คำนวณ'!$C4:$V4,MATCH(SMALL('คำนวณ'!$CF4:$CY4,1),'คำนวณ'!$CF4:$CY4,0)),"*",""))="D"),"(D)","")),IF(SMALL('คำนวณ'!$CF4:$CY4,2)&gt;=999999999,"",INDEX('ตารางเวร'!$A$10:$A$29,MATCH(SMALL('คำนวณ'!$CF4:$CY4,2),'คำนวณ'!$CF4:$CY4,0))&amp;IF(AND(TRIM('ตารางเวร'!$B$5)&lt;&gt;"",UPPER(SUBSTITUTE(INDEX('คำนวณ'!$C4:$V4,MATCH(SMALL('คำนวณ'!$CF4:$CY4,2),'คำนวณ'!$CF4:$CY4,0)),"*",""))="D"),"(D)",""))))</f>
        <v/>
      </c>
      <c r="N5" s="28">
        <f>IF('คำนวณ'!$B4=0,"",IF('คำนวณ'!$DB4=2,IF(SMALL('คำนวณ'!$CF4:$CY4,2)&gt;=999999999,"",INDEX('ตารางเวร'!$A$10:$A$29,MATCH(SMALL('คำนวณ'!$CF4:$CY4,2),'คำนวณ'!$CF4:$CY4,0))&amp;IF(AND(TRIM('ตารางเวร'!$B$5)&lt;&gt;"",UPPER(SUBSTITUTE(INDEX('คำนวณ'!$C4:$V4,MATCH(SMALL('คำนวณ'!$CF4:$CY4,2),'คำนวณ'!$CF4:$CY4,0)),"*",""))="D"),"(D)","")),IF(SMALL('คำนวณ'!$CF4:$CY4,3)&gt;=999999999,"",INDEX('ตารางเวร'!$A$10:$A$29,MATCH(SMALL('คำนวณ'!$CF4:$CY4,3),'คำนวณ'!$CF4:$CY4,0))&amp;IF(AND(TRIM('ตารางเวร'!$B$5)&lt;&gt;"",UPPER(SUBSTITUTE(INDEX('คำนวณ'!$C4:$V4,MATCH(SMALL('คำนวณ'!$CF4:$CY4,3),'คำนวณ'!$CF4:$CY4,0)),"*",""))="D"),"(D)",""))))</f>
        <v/>
      </c>
      <c r="O5" s="29">
        <f>IF('คำนวณ'!$B4=0,"",TRIM(IF(SMALL('คำนวณ'!$CF4:$CY4,4)&gt;=999999999,"","  "&amp;INDEX('ตารางเวร'!$A$10:$A$29,MATCH(SMALL('คำนวณ'!$CF4:$CY4,4),'คำนวณ'!$CF4:$CY4,0))&amp;IF(AND(TRIM('ตารางเวร'!$B$5)&lt;&gt;"",UPPER(SUBSTITUTE(INDEX('คำนวณ'!$C4:$V4,MATCH(SMALL('คำนวณ'!$CF4:$CY4,4),'คำนวณ'!$CF4:$CY4,0)),"*",""))="D"),"(D)",""))&amp;IF(SMALL('คำนวณ'!$CF4:$CY4,5)&gt;=999999999,"","  "&amp;INDEX('ตารางเวร'!$A$10:$A$29,MATCH(SMALL('คำนวณ'!$CF4:$CY4,5),'คำนวณ'!$CF4:$CY4,0))&amp;IF(AND(TRIM('ตารางเวร'!$B$5)&lt;&gt;"",UPPER(SUBSTITUTE(INDEX('คำนวณ'!$C4:$V4,MATCH(SMALL('คำนวณ'!$CF4:$CY4,5),'คำนวณ'!$CF4:$CY4,0)),"*",""))="D"),"(D)",""))&amp;IF(SMALL('คำนวณ'!$CF4:$CY4,6)&gt;=999999999,"","  "&amp;INDEX('ตารางเวร'!$A$10:$A$29,MATCH(SMALL('คำนวณ'!$CF4:$CY4,6),'คำนวณ'!$CF4:$CY4,0))&amp;IF(AND(TRIM('ตารางเวร'!$B$5)&lt;&gt;"",UPPER(SUBSTITUTE(INDEX('คำนวณ'!$C4:$V4,MATCH(SMALL('คำนวณ'!$CF4:$CY4,6),'คำนวณ'!$CF4:$CY4,0)),"*",""))="D"),"(D)",""))&amp;IF(SMALL('คำนวณ'!$CF4:$CY4,7)&gt;=999999999,"","  "&amp;INDEX('ตารางเวร'!$A$10:$A$29,MATCH(SMALL('คำนวณ'!$CF4:$CY4,7),'คำนวณ'!$CF4:$CY4,0))&amp;IF(AND(TRIM('ตารางเวร'!$B$5)&lt;&gt;"",UPPER(SUBSTITUTE(INDEX('คำนวณ'!$C4:$V4,MATCH(SMALL('คำนวณ'!$CF4:$CY4,7),'คำนวณ'!$CF4:$CY4,0)),"*",""))="D"),"(D)",""))&amp;IF(SMALL('คำนวณ'!$BK4:$CD4,9)&gt;=999999,"","  "&amp;INDEX('ตารางเวร'!$A$10:$A$29,SMALL('คำนวณ'!$BK4:$CD4,9))&amp;IF(UPPER(SUBSTITUTE(INDEX('คำนวณ'!$C4:$V4,SMALL('คำนวณ'!$BK4:$CD4,9)),"*",""))="D","(D)",""))&amp;IF(SMALL('คำนวณ'!$BK4:$CD4,10)&gt;=999999,"","  "&amp;INDEX('ตารางเวร'!$A$10:$A$29,SMALL('คำนวณ'!$BK4:$CD4,10))&amp;IF(UPPER(SUBSTITUTE(INDEX('คำนวณ'!$C4:$V4,SMALL('คำนวณ'!$BK4:$CD4,10)),"*",""))="D","(D)",""))&amp;IF(SMALL('คำนวณ'!$BK4:$CD4,11)&gt;=999999,"","  "&amp;INDEX('ตารางเวร'!$A$10:$A$29,SMALL('คำนวณ'!$BK4:$CD4,11))&amp;IF(UPPER(SUBSTITUTE(INDEX('คำนวณ'!$C4:$V4,SMALL('คำนวณ'!$BK4:$CD4,11)),"*",""))="D","(D)",""))&amp;IF(SMALL('คำนวณ'!$BK4:$CD4,12)&gt;=999999,"","  "&amp;INDEX('ตารางเวร'!$A$10:$A$29,SMALL('คำนวณ'!$BK4:$CD4,12))&amp;IF(UPPER(SUBSTITUTE(INDEX('คำนวณ'!$C4:$V4,SMALL('คำนวณ'!$BK4:$CD4,12)),"*",""))="D","(D)",""))))</f>
        <v/>
      </c>
    </row>
    <row r="6">
      <c r="A6" s="15">
        <f>IF('คำนวณ'!$B5=0,"",'คำนวณ'!$A5)</f>
        <v/>
      </c>
      <c r="B6" s="15">
        <f>IF('คำนวณ'!$B5=0,"",'ตารางเวร'!E$9)</f>
        <v/>
      </c>
      <c r="C6" s="24">
        <f>IF('คำนวณ'!$B5=0,"",IF(SMALL('คำนวณ'!$BK5:$CD5,1)&gt;=999999,"",INDEX('ตารางเวร'!$A$10:$A$29,SMALL('คำนวณ'!$BK5:$CD5,1))&amp;IF(UPPER(SUBSTITUTE(INDEX('คำนวณ'!$C5:$V5,SMALL('คำนวณ'!$BK5:$CD5,1)),"*",""))="D","(D)","")))</f>
        <v/>
      </c>
      <c r="D6" s="24">
        <f>IF('คำนวณ'!$B5=0,"",IF(SMALL('คำนวณ'!$BK5:$CD5,2)&gt;=999999,"",INDEX('ตารางเวร'!$A$10:$A$29,SMALL('คำนวณ'!$BK5:$CD5,2))&amp;IF(UPPER(SUBSTITUTE(INDEX('คำนวณ'!$C5:$V5,SMALL('คำนวณ'!$BK5:$CD5,2)),"*",""))="D","(D)","")))</f>
        <v/>
      </c>
      <c r="E6" s="24">
        <f>IF('คำนวณ'!$B5=0,"",IF(SMALL('คำนวณ'!$BK5:$CD5,3)&gt;=999999,"",INDEX('ตารางเวร'!$A$10:$A$29,SMALL('คำนวณ'!$BK5:$CD5,3))&amp;IF(UPPER(SUBSTITUTE(INDEX('คำนวณ'!$C5:$V5,SMALL('คำนวณ'!$BK5:$CD5,3)),"*",""))="D","(D)","")))</f>
        <v/>
      </c>
      <c r="F6" s="24">
        <f>IF('คำนวณ'!$B5=0,"",IF(SMALL('คำนวณ'!$BK5:$CD5,4)&gt;=999999,"",INDEX('ตารางเวร'!$A$10:$A$29,SMALL('คำนวณ'!$BK5:$CD5,4))&amp;IF(UPPER(SUBSTITUTE(INDEX('คำนวณ'!$C5:$V5,SMALL('คำนวณ'!$BK5:$CD5,4)),"*",""))="D","(D)","")))</f>
        <v/>
      </c>
      <c r="G6" s="24">
        <f>IF('คำนวณ'!$B5=0,"",IF(SMALL('คำนวณ'!$BK5:$CD5,5)&gt;=999999,"",INDEX('ตารางเวร'!$A$10:$A$29,SMALL('คำนวณ'!$BK5:$CD5,5))&amp;IF(UPPER(SUBSTITUTE(INDEX('คำนวณ'!$C5:$V5,SMALL('คำนวณ'!$BK5:$CD5,5)),"*",""))="D","(D)","")))</f>
        <v/>
      </c>
      <c r="H6" s="24">
        <f>IF('คำนวณ'!$B5=0,"",IF(SMALL('คำนวณ'!$BK5:$CD5,6)&gt;=999999,"",INDEX('ตารางเวร'!$A$10:$A$29,SMALL('คำนวณ'!$BK5:$CD5,6))&amp;IF(UPPER(SUBSTITUTE(INDEX('คำนวณ'!$C5:$V5,SMALL('คำนวณ'!$BK5:$CD5,6)),"*",""))="D","(D)","")))</f>
        <v/>
      </c>
      <c r="I6" s="24">
        <f>IF('คำนวณ'!$B5=0,"",IF(SMALL('คำนวณ'!$BK5:$CD5,7)&gt;=999999,"",INDEX('ตารางเวร'!$A$10:$A$29,SMALL('คำนวณ'!$BK5:$CD5,7))&amp;IF(UPPER(SUBSTITUTE(INDEX('คำนวณ'!$C5:$V5,SMALL('คำนวณ'!$BK5:$CD5,7)),"*",""))="D","(D)","")))</f>
        <v/>
      </c>
      <c r="J6" s="24">
        <f>IF('คำนวณ'!$B5=0,"",IF(SMALL('คำนวณ'!$BK5:$CD5,8)&gt;=999999,"",INDEX('ตารางเวร'!$A$10:$A$29,SMALL('คำนวณ'!$BK5:$CD5,8))&amp;IF(UPPER(SUBSTITUTE(INDEX('คำนวณ'!$C5:$V5,SMALL('คำนวณ'!$BK5:$CD5,8)),"*",""))="D","(D)","")))</f>
        <v/>
      </c>
      <c r="K6" s="25">
        <f>IF(OR('คำนวณ'!$B5=0,'คำนวณ'!$CE5=0),"",INDEX('ตารางเวร'!$A$10:$A$29,'คำนวณ'!$CE5)&amp;IF(AND(TRIM('ตารางเวร'!$B$5)&lt;&gt;"",UPPER(SUBSTITUTE(INDEX('คำนวณ'!$C5:$V5,'คำนวณ'!$CE5),"*",""))="D"),"(D)",""))</f>
        <v/>
      </c>
      <c r="L6" s="26">
        <f>IF('คำนวณ'!$B5=0,"",IF('คำนวณ'!$DB5=2,"",IF(SMALL('คำนวณ'!$CF5:$CY5,1)&gt;=999999999,"",INDEX('ตารางเวร'!$A$10:$A$29,MATCH(SMALL('คำนวณ'!$CF5:$CY5,1),'คำนวณ'!$CF5:$CY5,0))&amp;IF(AND(TRIM('ตารางเวร'!$B$5)&lt;&gt;"",UPPER(SUBSTITUTE(INDEX('คำนวณ'!$C5:$V5,MATCH(SMALL('คำนวณ'!$CF5:$CY5,1),'คำนวณ'!$CF5:$CY5,0)),"*",""))="D"),"(D)",""))))</f>
        <v/>
      </c>
      <c r="M6" s="27">
        <f>IF('คำนวณ'!$B5=0,"",IF('คำนวณ'!$DB5=2,IF(SMALL('คำนวณ'!$CF5:$CY5,1)&gt;=999999999,"",INDEX('ตารางเวร'!$A$10:$A$29,MATCH(SMALL('คำนวณ'!$CF5:$CY5,1),'คำนวณ'!$CF5:$CY5,0))&amp;IF(AND(TRIM('ตารางเวร'!$B$5)&lt;&gt;"",UPPER(SUBSTITUTE(INDEX('คำนวณ'!$C5:$V5,MATCH(SMALL('คำนวณ'!$CF5:$CY5,1),'คำนวณ'!$CF5:$CY5,0)),"*",""))="D"),"(D)","")),IF(SMALL('คำนวณ'!$CF5:$CY5,2)&gt;=999999999,"",INDEX('ตารางเวร'!$A$10:$A$29,MATCH(SMALL('คำนวณ'!$CF5:$CY5,2),'คำนวณ'!$CF5:$CY5,0))&amp;IF(AND(TRIM('ตารางเวร'!$B$5)&lt;&gt;"",UPPER(SUBSTITUTE(INDEX('คำนวณ'!$C5:$V5,MATCH(SMALL('คำนวณ'!$CF5:$CY5,2),'คำนวณ'!$CF5:$CY5,0)),"*",""))="D"),"(D)",""))))</f>
        <v/>
      </c>
      <c r="N6" s="28">
        <f>IF('คำนวณ'!$B5=0,"",IF('คำนวณ'!$DB5=2,IF(SMALL('คำนวณ'!$CF5:$CY5,2)&gt;=999999999,"",INDEX('ตารางเวร'!$A$10:$A$29,MATCH(SMALL('คำนวณ'!$CF5:$CY5,2),'คำนวณ'!$CF5:$CY5,0))&amp;IF(AND(TRIM('ตารางเวร'!$B$5)&lt;&gt;"",UPPER(SUBSTITUTE(INDEX('คำนวณ'!$C5:$V5,MATCH(SMALL('คำนวณ'!$CF5:$CY5,2),'คำนวณ'!$CF5:$CY5,0)),"*",""))="D"),"(D)","")),IF(SMALL('คำนวณ'!$CF5:$CY5,3)&gt;=999999999,"",INDEX('ตารางเวร'!$A$10:$A$29,MATCH(SMALL('คำนวณ'!$CF5:$CY5,3),'คำนวณ'!$CF5:$CY5,0))&amp;IF(AND(TRIM('ตารางเวร'!$B$5)&lt;&gt;"",UPPER(SUBSTITUTE(INDEX('คำนวณ'!$C5:$V5,MATCH(SMALL('คำนวณ'!$CF5:$CY5,3),'คำนวณ'!$CF5:$CY5,0)),"*",""))="D"),"(D)",""))))</f>
        <v/>
      </c>
      <c r="O6" s="29">
        <f>IF('คำนวณ'!$B5=0,"",TRIM(IF(SMALL('คำนวณ'!$CF5:$CY5,4)&gt;=999999999,"","  "&amp;INDEX('ตารางเวร'!$A$10:$A$29,MATCH(SMALL('คำนวณ'!$CF5:$CY5,4),'คำนวณ'!$CF5:$CY5,0))&amp;IF(AND(TRIM('ตารางเวร'!$B$5)&lt;&gt;"",UPPER(SUBSTITUTE(INDEX('คำนวณ'!$C5:$V5,MATCH(SMALL('คำนวณ'!$CF5:$CY5,4),'คำนวณ'!$CF5:$CY5,0)),"*",""))="D"),"(D)",""))&amp;IF(SMALL('คำนวณ'!$CF5:$CY5,5)&gt;=999999999,"","  "&amp;INDEX('ตารางเวร'!$A$10:$A$29,MATCH(SMALL('คำนวณ'!$CF5:$CY5,5),'คำนวณ'!$CF5:$CY5,0))&amp;IF(AND(TRIM('ตารางเวร'!$B$5)&lt;&gt;"",UPPER(SUBSTITUTE(INDEX('คำนวณ'!$C5:$V5,MATCH(SMALL('คำนวณ'!$CF5:$CY5,5),'คำนวณ'!$CF5:$CY5,0)),"*",""))="D"),"(D)",""))&amp;IF(SMALL('คำนวณ'!$CF5:$CY5,6)&gt;=999999999,"","  "&amp;INDEX('ตารางเวร'!$A$10:$A$29,MATCH(SMALL('คำนวณ'!$CF5:$CY5,6),'คำนวณ'!$CF5:$CY5,0))&amp;IF(AND(TRIM('ตารางเวร'!$B$5)&lt;&gt;"",UPPER(SUBSTITUTE(INDEX('คำนวณ'!$C5:$V5,MATCH(SMALL('คำนวณ'!$CF5:$CY5,6),'คำนวณ'!$CF5:$CY5,0)),"*",""))="D"),"(D)",""))&amp;IF(SMALL('คำนวณ'!$CF5:$CY5,7)&gt;=999999999,"","  "&amp;INDEX('ตารางเวร'!$A$10:$A$29,MATCH(SMALL('คำนวณ'!$CF5:$CY5,7),'คำนวณ'!$CF5:$CY5,0))&amp;IF(AND(TRIM('ตารางเวร'!$B$5)&lt;&gt;"",UPPER(SUBSTITUTE(INDEX('คำนวณ'!$C5:$V5,MATCH(SMALL('คำนวณ'!$CF5:$CY5,7),'คำนวณ'!$CF5:$CY5,0)),"*",""))="D"),"(D)",""))&amp;IF(SMALL('คำนวณ'!$BK5:$CD5,9)&gt;=999999,"","  "&amp;INDEX('ตารางเวร'!$A$10:$A$29,SMALL('คำนวณ'!$BK5:$CD5,9))&amp;IF(UPPER(SUBSTITUTE(INDEX('คำนวณ'!$C5:$V5,SMALL('คำนวณ'!$BK5:$CD5,9)),"*",""))="D","(D)",""))&amp;IF(SMALL('คำนวณ'!$BK5:$CD5,10)&gt;=999999,"","  "&amp;INDEX('ตารางเวร'!$A$10:$A$29,SMALL('คำนวณ'!$BK5:$CD5,10))&amp;IF(UPPER(SUBSTITUTE(INDEX('คำนวณ'!$C5:$V5,SMALL('คำนวณ'!$BK5:$CD5,10)),"*",""))="D","(D)",""))&amp;IF(SMALL('คำนวณ'!$BK5:$CD5,11)&gt;=999999,"","  "&amp;INDEX('ตารางเวร'!$A$10:$A$29,SMALL('คำนวณ'!$BK5:$CD5,11))&amp;IF(UPPER(SUBSTITUTE(INDEX('คำนวณ'!$C5:$V5,SMALL('คำนวณ'!$BK5:$CD5,11)),"*",""))="D","(D)",""))&amp;IF(SMALL('คำนวณ'!$BK5:$CD5,12)&gt;=999999,"","  "&amp;INDEX('ตารางเวร'!$A$10:$A$29,SMALL('คำนวณ'!$BK5:$CD5,12))&amp;IF(UPPER(SUBSTITUTE(INDEX('คำนวณ'!$C5:$V5,SMALL('คำนวณ'!$BK5:$CD5,12)),"*",""))="D","(D)",""))))</f>
        <v/>
      </c>
    </row>
    <row r="7">
      <c r="A7" s="15">
        <f>IF('คำนวณ'!$B6=0,"",'คำนวณ'!$A6)</f>
        <v/>
      </c>
      <c r="B7" s="15">
        <f>IF('คำนวณ'!$B6=0,"",'ตารางเวร'!F$9)</f>
        <v/>
      </c>
      <c r="C7" s="24">
        <f>IF('คำนวณ'!$B6=0,"",IF(SMALL('คำนวณ'!$BK6:$CD6,1)&gt;=999999,"",INDEX('ตารางเวร'!$A$10:$A$29,SMALL('คำนวณ'!$BK6:$CD6,1))&amp;IF(UPPER(SUBSTITUTE(INDEX('คำนวณ'!$C6:$V6,SMALL('คำนวณ'!$BK6:$CD6,1)),"*",""))="D","(D)","")))</f>
        <v/>
      </c>
      <c r="D7" s="24">
        <f>IF('คำนวณ'!$B6=0,"",IF(SMALL('คำนวณ'!$BK6:$CD6,2)&gt;=999999,"",INDEX('ตารางเวร'!$A$10:$A$29,SMALL('คำนวณ'!$BK6:$CD6,2))&amp;IF(UPPER(SUBSTITUTE(INDEX('คำนวณ'!$C6:$V6,SMALL('คำนวณ'!$BK6:$CD6,2)),"*",""))="D","(D)","")))</f>
        <v/>
      </c>
      <c r="E7" s="24">
        <f>IF('คำนวณ'!$B6=0,"",IF(SMALL('คำนวณ'!$BK6:$CD6,3)&gt;=999999,"",INDEX('ตารางเวร'!$A$10:$A$29,SMALL('คำนวณ'!$BK6:$CD6,3))&amp;IF(UPPER(SUBSTITUTE(INDEX('คำนวณ'!$C6:$V6,SMALL('คำนวณ'!$BK6:$CD6,3)),"*",""))="D","(D)","")))</f>
        <v/>
      </c>
      <c r="F7" s="24">
        <f>IF('คำนวณ'!$B6=0,"",IF(SMALL('คำนวณ'!$BK6:$CD6,4)&gt;=999999,"",INDEX('ตารางเวร'!$A$10:$A$29,SMALL('คำนวณ'!$BK6:$CD6,4))&amp;IF(UPPER(SUBSTITUTE(INDEX('คำนวณ'!$C6:$V6,SMALL('คำนวณ'!$BK6:$CD6,4)),"*",""))="D","(D)","")))</f>
        <v/>
      </c>
      <c r="G7" s="24">
        <f>IF('คำนวณ'!$B6=0,"",IF(SMALL('คำนวณ'!$BK6:$CD6,5)&gt;=999999,"",INDEX('ตารางเวร'!$A$10:$A$29,SMALL('คำนวณ'!$BK6:$CD6,5))&amp;IF(UPPER(SUBSTITUTE(INDEX('คำนวณ'!$C6:$V6,SMALL('คำนวณ'!$BK6:$CD6,5)),"*",""))="D","(D)","")))</f>
        <v/>
      </c>
      <c r="H7" s="24">
        <f>IF('คำนวณ'!$B6=0,"",IF(SMALL('คำนวณ'!$BK6:$CD6,6)&gt;=999999,"",INDEX('ตารางเวร'!$A$10:$A$29,SMALL('คำนวณ'!$BK6:$CD6,6))&amp;IF(UPPER(SUBSTITUTE(INDEX('คำนวณ'!$C6:$V6,SMALL('คำนวณ'!$BK6:$CD6,6)),"*",""))="D","(D)","")))</f>
        <v/>
      </c>
      <c r="I7" s="24">
        <f>IF('คำนวณ'!$B6=0,"",IF(SMALL('คำนวณ'!$BK6:$CD6,7)&gt;=999999,"",INDEX('ตารางเวร'!$A$10:$A$29,SMALL('คำนวณ'!$BK6:$CD6,7))&amp;IF(UPPER(SUBSTITUTE(INDEX('คำนวณ'!$C6:$V6,SMALL('คำนวณ'!$BK6:$CD6,7)),"*",""))="D","(D)","")))</f>
        <v/>
      </c>
      <c r="J7" s="24">
        <f>IF('คำนวณ'!$B6=0,"",IF(SMALL('คำนวณ'!$BK6:$CD6,8)&gt;=999999,"",INDEX('ตารางเวร'!$A$10:$A$29,SMALL('คำนวณ'!$BK6:$CD6,8))&amp;IF(UPPER(SUBSTITUTE(INDEX('คำนวณ'!$C6:$V6,SMALL('คำนวณ'!$BK6:$CD6,8)),"*",""))="D","(D)","")))</f>
        <v/>
      </c>
      <c r="K7" s="25">
        <f>IF(OR('คำนวณ'!$B6=0,'คำนวณ'!$CE6=0),"",INDEX('ตารางเวร'!$A$10:$A$29,'คำนวณ'!$CE6)&amp;IF(AND(TRIM('ตารางเวร'!$B$5)&lt;&gt;"",UPPER(SUBSTITUTE(INDEX('คำนวณ'!$C6:$V6,'คำนวณ'!$CE6),"*",""))="D"),"(D)",""))</f>
        <v/>
      </c>
      <c r="L7" s="26">
        <f>IF('คำนวณ'!$B6=0,"",IF('คำนวณ'!$DB6=2,"",IF(SMALL('คำนวณ'!$CF6:$CY6,1)&gt;=999999999,"",INDEX('ตารางเวร'!$A$10:$A$29,MATCH(SMALL('คำนวณ'!$CF6:$CY6,1),'คำนวณ'!$CF6:$CY6,0))&amp;IF(AND(TRIM('ตารางเวร'!$B$5)&lt;&gt;"",UPPER(SUBSTITUTE(INDEX('คำนวณ'!$C6:$V6,MATCH(SMALL('คำนวณ'!$CF6:$CY6,1),'คำนวณ'!$CF6:$CY6,0)),"*",""))="D"),"(D)",""))))</f>
        <v/>
      </c>
      <c r="M7" s="27">
        <f>IF('คำนวณ'!$B6=0,"",IF('คำนวณ'!$DB6=2,IF(SMALL('คำนวณ'!$CF6:$CY6,1)&gt;=999999999,"",INDEX('ตารางเวร'!$A$10:$A$29,MATCH(SMALL('คำนวณ'!$CF6:$CY6,1),'คำนวณ'!$CF6:$CY6,0))&amp;IF(AND(TRIM('ตารางเวร'!$B$5)&lt;&gt;"",UPPER(SUBSTITUTE(INDEX('คำนวณ'!$C6:$V6,MATCH(SMALL('คำนวณ'!$CF6:$CY6,1),'คำนวณ'!$CF6:$CY6,0)),"*",""))="D"),"(D)","")),IF(SMALL('คำนวณ'!$CF6:$CY6,2)&gt;=999999999,"",INDEX('ตารางเวร'!$A$10:$A$29,MATCH(SMALL('คำนวณ'!$CF6:$CY6,2),'คำนวณ'!$CF6:$CY6,0))&amp;IF(AND(TRIM('ตารางเวร'!$B$5)&lt;&gt;"",UPPER(SUBSTITUTE(INDEX('คำนวณ'!$C6:$V6,MATCH(SMALL('คำนวณ'!$CF6:$CY6,2),'คำนวณ'!$CF6:$CY6,0)),"*",""))="D"),"(D)",""))))</f>
        <v/>
      </c>
      <c r="N7" s="28">
        <f>IF('คำนวณ'!$B6=0,"",IF('คำนวณ'!$DB6=2,IF(SMALL('คำนวณ'!$CF6:$CY6,2)&gt;=999999999,"",INDEX('ตารางเวร'!$A$10:$A$29,MATCH(SMALL('คำนวณ'!$CF6:$CY6,2),'คำนวณ'!$CF6:$CY6,0))&amp;IF(AND(TRIM('ตารางเวร'!$B$5)&lt;&gt;"",UPPER(SUBSTITUTE(INDEX('คำนวณ'!$C6:$V6,MATCH(SMALL('คำนวณ'!$CF6:$CY6,2),'คำนวณ'!$CF6:$CY6,0)),"*",""))="D"),"(D)","")),IF(SMALL('คำนวณ'!$CF6:$CY6,3)&gt;=999999999,"",INDEX('ตารางเวร'!$A$10:$A$29,MATCH(SMALL('คำนวณ'!$CF6:$CY6,3),'คำนวณ'!$CF6:$CY6,0))&amp;IF(AND(TRIM('ตารางเวร'!$B$5)&lt;&gt;"",UPPER(SUBSTITUTE(INDEX('คำนวณ'!$C6:$V6,MATCH(SMALL('คำนวณ'!$CF6:$CY6,3),'คำนวณ'!$CF6:$CY6,0)),"*",""))="D"),"(D)",""))))</f>
        <v/>
      </c>
      <c r="O7" s="29">
        <f>IF('คำนวณ'!$B6=0,"",TRIM(IF(SMALL('คำนวณ'!$CF6:$CY6,4)&gt;=999999999,"","  "&amp;INDEX('ตารางเวร'!$A$10:$A$29,MATCH(SMALL('คำนวณ'!$CF6:$CY6,4),'คำนวณ'!$CF6:$CY6,0))&amp;IF(AND(TRIM('ตารางเวร'!$B$5)&lt;&gt;"",UPPER(SUBSTITUTE(INDEX('คำนวณ'!$C6:$V6,MATCH(SMALL('คำนวณ'!$CF6:$CY6,4),'คำนวณ'!$CF6:$CY6,0)),"*",""))="D"),"(D)",""))&amp;IF(SMALL('คำนวณ'!$CF6:$CY6,5)&gt;=999999999,"","  "&amp;INDEX('ตารางเวร'!$A$10:$A$29,MATCH(SMALL('คำนวณ'!$CF6:$CY6,5),'คำนวณ'!$CF6:$CY6,0))&amp;IF(AND(TRIM('ตารางเวร'!$B$5)&lt;&gt;"",UPPER(SUBSTITUTE(INDEX('คำนวณ'!$C6:$V6,MATCH(SMALL('คำนวณ'!$CF6:$CY6,5),'คำนวณ'!$CF6:$CY6,0)),"*",""))="D"),"(D)",""))&amp;IF(SMALL('คำนวณ'!$CF6:$CY6,6)&gt;=999999999,"","  "&amp;INDEX('ตารางเวร'!$A$10:$A$29,MATCH(SMALL('คำนวณ'!$CF6:$CY6,6),'คำนวณ'!$CF6:$CY6,0))&amp;IF(AND(TRIM('ตารางเวร'!$B$5)&lt;&gt;"",UPPER(SUBSTITUTE(INDEX('คำนวณ'!$C6:$V6,MATCH(SMALL('คำนวณ'!$CF6:$CY6,6),'คำนวณ'!$CF6:$CY6,0)),"*",""))="D"),"(D)",""))&amp;IF(SMALL('คำนวณ'!$CF6:$CY6,7)&gt;=999999999,"","  "&amp;INDEX('ตารางเวร'!$A$10:$A$29,MATCH(SMALL('คำนวณ'!$CF6:$CY6,7),'คำนวณ'!$CF6:$CY6,0))&amp;IF(AND(TRIM('ตารางเวร'!$B$5)&lt;&gt;"",UPPER(SUBSTITUTE(INDEX('คำนวณ'!$C6:$V6,MATCH(SMALL('คำนวณ'!$CF6:$CY6,7),'คำนวณ'!$CF6:$CY6,0)),"*",""))="D"),"(D)",""))&amp;IF(SMALL('คำนวณ'!$BK6:$CD6,9)&gt;=999999,"","  "&amp;INDEX('ตารางเวร'!$A$10:$A$29,SMALL('คำนวณ'!$BK6:$CD6,9))&amp;IF(UPPER(SUBSTITUTE(INDEX('คำนวณ'!$C6:$V6,SMALL('คำนวณ'!$BK6:$CD6,9)),"*",""))="D","(D)",""))&amp;IF(SMALL('คำนวณ'!$BK6:$CD6,10)&gt;=999999,"","  "&amp;INDEX('ตารางเวร'!$A$10:$A$29,SMALL('คำนวณ'!$BK6:$CD6,10))&amp;IF(UPPER(SUBSTITUTE(INDEX('คำนวณ'!$C6:$V6,SMALL('คำนวณ'!$BK6:$CD6,10)),"*",""))="D","(D)",""))&amp;IF(SMALL('คำนวณ'!$BK6:$CD6,11)&gt;=999999,"","  "&amp;INDEX('ตารางเวร'!$A$10:$A$29,SMALL('คำนวณ'!$BK6:$CD6,11))&amp;IF(UPPER(SUBSTITUTE(INDEX('คำนวณ'!$C6:$V6,SMALL('คำนวณ'!$BK6:$CD6,11)),"*",""))="D","(D)",""))&amp;IF(SMALL('คำนวณ'!$BK6:$CD6,12)&gt;=999999,"","  "&amp;INDEX('ตารางเวร'!$A$10:$A$29,SMALL('คำนวณ'!$BK6:$CD6,12))&amp;IF(UPPER(SUBSTITUTE(INDEX('คำนวณ'!$C6:$V6,SMALL('คำนวณ'!$BK6:$CD6,12)),"*",""))="D","(D)",""))))</f>
        <v/>
      </c>
    </row>
    <row r="8">
      <c r="A8" s="15">
        <f>IF('คำนวณ'!$B7=0,"",'คำนวณ'!$A7)</f>
        <v/>
      </c>
      <c r="B8" s="15">
        <f>IF('คำนวณ'!$B7=0,"",'ตารางเวร'!G$9)</f>
        <v/>
      </c>
      <c r="C8" s="24">
        <f>IF('คำนวณ'!$B7=0,"",IF(SMALL('คำนวณ'!$BK7:$CD7,1)&gt;=999999,"",INDEX('ตารางเวร'!$A$10:$A$29,SMALL('คำนวณ'!$BK7:$CD7,1))&amp;IF(UPPER(SUBSTITUTE(INDEX('คำนวณ'!$C7:$V7,SMALL('คำนวณ'!$BK7:$CD7,1)),"*",""))="D","(D)","")))</f>
        <v/>
      </c>
      <c r="D8" s="24">
        <f>IF('คำนวณ'!$B7=0,"",IF(SMALL('คำนวณ'!$BK7:$CD7,2)&gt;=999999,"",INDEX('ตารางเวร'!$A$10:$A$29,SMALL('คำนวณ'!$BK7:$CD7,2))&amp;IF(UPPER(SUBSTITUTE(INDEX('คำนวณ'!$C7:$V7,SMALL('คำนวณ'!$BK7:$CD7,2)),"*",""))="D","(D)","")))</f>
        <v/>
      </c>
      <c r="E8" s="24">
        <f>IF('คำนวณ'!$B7=0,"",IF(SMALL('คำนวณ'!$BK7:$CD7,3)&gt;=999999,"",INDEX('ตารางเวร'!$A$10:$A$29,SMALL('คำนวณ'!$BK7:$CD7,3))&amp;IF(UPPER(SUBSTITUTE(INDEX('คำนวณ'!$C7:$V7,SMALL('คำนวณ'!$BK7:$CD7,3)),"*",""))="D","(D)","")))</f>
        <v/>
      </c>
      <c r="F8" s="24">
        <f>IF('คำนวณ'!$B7=0,"",IF(SMALL('คำนวณ'!$BK7:$CD7,4)&gt;=999999,"",INDEX('ตารางเวร'!$A$10:$A$29,SMALL('คำนวณ'!$BK7:$CD7,4))&amp;IF(UPPER(SUBSTITUTE(INDEX('คำนวณ'!$C7:$V7,SMALL('คำนวณ'!$BK7:$CD7,4)),"*",""))="D","(D)","")))</f>
        <v/>
      </c>
      <c r="G8" s="24">
        <f>IF('คำนวณ'!$B7=0,"",IF(SMALL('คำนวณ'!$BK7:$CD7,5)&gt;=999999,"",INDEX('ตารางเวร'!$A$10:$A$29,SMALL('คำนวณ'!$BK7:$CD7,5))&amp;IF(UPPER(SUBSTITUTE(INDEX('คำนวณ'!$C7:$V7,SMALL('คำนวณ'!$BK7:$CD7,5)),"*",""))="D","(D)","")))</f>
        <v/>
      </c>
      <c r="H8" s="24">
        <f>IF('คำนวณ'!$B7=0,"",IF(SMALL('คำนวณ'!$BK7:$CD7,6)&gt;=999999,"",INDEX('ตารางเวร'!$A$10:$A$29,SMALL('คำนวณ'!$BK7:$CD7,6))&amp;IF(UPPER(SUBSTITUTE(INDEX('คำนวณ'!$C7:$V7,SMALL('คำนวณ'!$BK7:$CD7,6)),"*",""))="D","(D)","")))</f>
        <v/>
      </c>
      <c r="I8" s="24">
        <f>IF('คำนวณ'!$B7=0,"",IF(SMALL('คำนวณ'!$BK7:$CD7,7)&gt;=999999,"",INDEX('ตารางเวร'!$A$10:$A$29,SMALL('คำนวณ'!$BK7:$CD7,7))&amp;IF(UPPER(SUBSTITUTE(INDEX('คำนวณ'!$C7:$V7,SMALL('คำนวณ'!$BK7:$CD7,7)),"*",""))="D","(D)","")))</f>
        <v/>
      </c>
      <c r="J8" s="24">
        <f>IF('คำนวณ'!$B7=0,"",IF(SMALL('คำนวณ'!$BK7:$CD7,8)&gt;=999999,"",INDEX('ตารางเวร'!$A$10:$A$29,SMALL('คำนวณ'!$BK7:$CD7,8))&amp;IF(UPPER(SUBSTITUTE(INDEX('คำนวณ'!$C7:$V7,SMALL('คำนวณ'!$BK7:$CD7,8)),"*",""))="D","(D)","")))</f>
        <v/>
      </c>
      <c r="K8" s="25">
        <f>IF(OR('คำนวณ'!$B7=0,'คำนวณ'!$CE7=0),"",INDEX('ตารางเวร'!$A$10:$A$29,'คำนวณ'!$CE7)&amp;IF(AND(TRIM('ตารางเวร'!$B$5)&lt;&gt;"",UPPER(SUBSTITUTE(INDEX('คำนวณ'!$C7:$V7,'คำนวณ'!$CE7),"*",""))="D"),"(D)",""))</f>
        <v/>
      </c>
      <c r="L8" s="26">
        <f>IF('คำนวณ'!$B7=0,"",IF('คำนวณ'!$DB7=2,"",IF(SMALL('คำนวณ'!$CF7:$CY7,1)&gt;=999999999,"",INDEX('ตารางเวร'!$A$10:$A$29,MATCH(SMALL('คำนวณ'!$CF7:$CY7,1),'คำนวณ'!$CF7:$CY7,0))&amp;IF(AND(TRIM('ตารางเวร'!$B$5)&lt;&gt;"",UPPER(SUBSTITUTE(INDEX('คำนวณ'!$C7:$V7,MATCH(SMALL('คำนวณ'!$CF7:$CY7,1),'คำนวณ'!$CF7:$CY7,0)),"*",""))="D"),"(D)",""))))</f>
        <v/>
      </c>
      <c r="M8" s="27">
        <f>IF('คำนวณ'!$B7=0,"",IF('คำนวณ'!$DB7=2,IF(SMALL('คำนวณ'!$CF7:$CY7,1)&gt;=999999999,"",INDEX('ตารางเวร'!$A$10:$A$29,MATCH(SMALL('คำนวณ'!$CF7:$CY7,1),'คำนวณ'!$CF7:$CY7,0))&amp;IF(AND(TRIM('ตารางเวร'!$B$5)&lt;&gt;"",UPPER(SUBSTITUTE(INDEX('คำนวณ'!$C7:$V7,MATCH(SMALL('คำนวณ'!$CF7:$CY7,1),'คำนวณ'!$CF7:$CY7,0)),"*",""))="D"),"(D)","")),IF(SMALL('คำนวณ'!$CF7:$CY7,2)&gt;=999999999,"",INDEX('ตารางเวร'!$A$10:$A$29,MATCH(SMALL('คำนวณ'!$CF7:$CY7,2),'คำนวณ'!$CF7:$CY7,0))&amp;IF(AND(TRIM('ตารางเวร'!$B$5)&lt;&gt;"",UPPER(SUBSTITUTE(INDEX('คำนวณ'!$C7:$V7,MATCH(SMALL('คำนวณ'!$CF7:$CY7,2),'คำนวณ'!$CF7:$CY7,0)),"*",""))="D"),"(D)",""))))</f>
        <v/>
      </c>
      <c r="N8" s="28">
        <f>IF('คำนวณ'!$B7=0,"",IF('คำนวณ'!$DB7=2,IF(SMALL('คำนวณ'!$CF7:$CY7,2)&gt;=999999999,"",INDEX('ตารางเวร'!$A$10:$A$29,MATCH(SMALL('คำนวณ'!$CF7:$CY7,2),'คำนวณ'!$CF7:$CY7,0))&amp;IF(AND(TRIM('ตารางเวร'!$B$5)&lt;&gt;"",UPPER(SUBSTITUTE(INDEX('คำนวณ'!$C7:$V7,MATCH(SMALL('คำนวณ'!$CF7:$CY7,2),'คำนวณ'!$CF7:$CY7,0)),"*",""))="D"),"(D)","")),IF(SMALL('คำนวณ'!$CF7:$CY7,3)&gt;=999999999,"",INDEX('ตารางเวร'!$A$10:$A$29,MATCH(SMALL('คำนวณ'!$CF7:$CY7,3),'คำนวณ'!$CF7:$CY7,0))&amp;IF(AND(TRIM('ตารางเวร'!$B$5)&lt;&gt;"",UPPER(SUBSTITUTE(INDEX('คำนวณ'!$C7:$V7,MATCH(SMALL('คำนวณ'!$CF7:$CY7,3),'คำนวณ'!$CF7:$CY7,0)),"*",""))="D"),"(D)",""))))</f>
        <v/>
      </c>
      <c r="O8" s="29">
        <f>IF('คำนวณ'!$B7=0,"",TRIM(IF(SMALL('คำนวณ'!$CF7:$CY7,4)&gt;=999999999,"","  "&amp;INDEX('ตารางเวร'!$A$10:$A$29,MATCH(SMALL('คำนวณ'!$CF7:$CY7,4),'คำนวณ'!$CF7:$CY7,0))&amp;IF(AND(TRIM('ตารางเวร'!$B$5)&lt;&gt;"",UPPER(SUBSTITUTE(INDEX('คำนวณ'!$C7:$V7,MATCH(SMALL('คำนวณ'!$CF7:$CY7,4),'คำนวณ'!$CF7:$CY7,0)),"*",""))="D"),"(D)",""))&amp;IF(SMALL('คำนวณ'!$CF7:$CY7,5)&gt;=999999999,"","  "&amp;INDEX('ตารางเวร'!$A$10:$A$29,MATCH(SMALL('คำนวณ'!$CF7:$CY7,5),'คำนวณ'!$CF7:$CY7,0))&amp;IF(AND(TRIM('ตารางเวร'!$B$5)&lt;&gt;"",UPPER(SUBSTITUTE(INDEX('คำนวณ'!$C7:$V7,MATCH(SMALL('คำนวณ'!$CF7:$CY7,5),'คำนวณ'!$CF7:$CY7,0)),"*",""))="D"),"(D)",""))&amp;IF(SMALL('คำนวณ'!$CF7:$CY7,6)&gt;=999999999,"","  "&amp;INDEX('ตารางเวร'!$A$10:$A$29,MATCH(SMALL('คำนวณ'!$CF7:$CY7,6),'คำนวณ'!$CF7:$CY7,0))&amp;IF(AND(TRIM('ตารางเวร'!$B$5)&lt;&gt;"",UPPER(SUBSTITUTE(INDEX('คำนวณ'!$C7:$V7,MATCH(SMALL('คำนวณ'!$CF7:$CY7,6),'คำนวณ'!$CF7:$CY7,0)),"*",""))="D"),"(D)",""))&amp;IF(SMALL('คำนวณ'!$CF7:$CY7,7)&gt;=999999999,"","  "&amp;INDEX('ตารางเวร'!$A$10:$A$29,MATCH(SMALL('คำนวณ'!$CF7:$CY7,7),'คำนวณ'!$CF7:$CY7,0))&amp;IF(AND(TRIM('ตารางเวร'!$B$5)&lt;&gt;"",UPPER(SUBSTITUTE(INDEX('คำนวณ'!$C7:$V7,MATCH(SMALL('คำนวณ'!$CF7:$CY7,7),'คำนวณ'!$CF7:$CY7,0)),"*",""))="D"),"(D)",""))&amp;IF(SMALL('คำนวณ'!$BK7:$CD7,9)&gt;=999999,"","  "&amp;INDEX('ตารางเวร'!$A$10:$A$29,SMALL('คำนวณ'!$BK7:$CD7,9))&amp;IF(UPPER(SUBSTITUTE(INDEX('คำนวณ'!$C7:$V7,SMALL('คำนวณ'!$BK7:$CD7,9)),"*",""))="D","(D)",""))&amp;IF(SMALL('คำนวณ'!$BK7:$CD7,10)&gt;=999999,"","  "&amp;INDEX('ตารางเวร'!$A$10:$A$29,SMALL('คำนวณ'!$BK7:$CD7,10))&amp;IF(UPPER(SUBSTITUTE(INDEX('คำนวณ'!$C7:$V7,SMALL('คำนวณ'!$BK7:$CD7,10)),"*",""))="D","(D)",""))&amp;IF(SMALL('คำนวณ'!$BK7:$CD7,11)&gt;=999999,"","  "&amp;INDEX('ตารางเวร'!$A$10:$A$29,SMALL('คำนวณ'!$BK7:$CD7,11))&amp;IF(UPPER(SUBSTITUTE(INDEX('คำนวณ'!$C7:$V7,SMALL('คำนวณ'!$BK7:$CD7,11)),"*",""))="D","(D)",""))&amp;IF(SMALL('คำนวณ'!$BK7:$CD7,12)&gt;=999999,"","  "&amp;INDEX('ตารางเวร'!$A$10:$A$29,SMALL('คำนวณ'!$BK7:$CD7,12))&amp;IF(UPPER(SUBSTITUTE(INDEX('คำนวณ'!$C7:$V7,SMALL('คำนวณ'!$BK7:$CD7,12)),"*",""))="D","(D)",""))))</f>
        <v/>
      </c>
    </row>
    <row r="9">
      <c r="A9" s="15">
        <f>IF('คำนวณ'!$B8=0,"",'คำนวณ'!$A8)</f>
        <v/>
      </c>
      <c r="B9" s="15">
        <f>IF('คำนวณ'!$B8=0,"",'ตารางเวร'!H$9)</f>
        <v/>
      </c>
      <c r="C9" s="24">
        <f>IF('คำนวณ'!$B8=0,"",IF(SMALL('คำนวณ'!$BK8:$CD8,1)&gt;=999999,"",INDEX('ตารางเวร'!$A$10:$A$29,SMALL('คำนวณ'!$BK8:$CD8,1))&amp;IF(UPPER(SUBSTITUTE(INDEX('คำนวณ'!$C8:$V8,SMALL('คำนวณ'!$BK8:$CD8,1)),"*",""))="D","(D)","")))</f>
        <v/>
      </c>
      <c r="D9" s="24">
        <f>IF('คำนวณ'!$B8=0,"",IF(SMALL('คำนวณ'!$BK8:$CD8,2)&gt;=999999,"",INDEX('ตารางเวร'!$A$10:$A$29,SMALL('คำนวณ'!$BK8:$CD8,2))&amp;IF(UPPER(SUBSTITUTE(INDEX('คำนวณ'!$C8:$V8,SMALL('คำนวณ'!$BK8:$CD8,2)),"*",""))="D","(D)","")))</f>
        <v/>
      </c>
      <c r="E9" s="24">
        <f>IF('คำนวณ'!$B8=0,"",IF(SMALL('คำนวณ'!$BK8:$CD8,3)&gt;=999999,"",INDEX('ตารางเวร'!$A$10:$A$29,SMALL('คำนวณ'!$BK8:$CD8,3))&amp;IF(UPPER(SUBSTITUTE(INDEX('คำนวณ'!$C8:$V8,SMALL('คำนวณ'!$BK8:$CD8,3)),"*",""))="D","(D)","")))</f>
        <v/>
      </c>
      <c r="F9" s="24">
        <f>IF('คำนวณ'!$B8=0,"",IF(SMALL('คำนวณ'!$BK8:$CD8,4)&gt;=999999,"",INDEX('ตารางเวร'!$A$10:$A$29,SMALL('คำนวณ'!$BK8:$CD8,4))&amp;IF(UPPER(SUBSTITUTE(INDEX('คำนวณ'!$C8:$V8,SMALL('คำนวณ'!$BK8:$CD8,4)),"*",""))="D","(D)","")))</f>
        <v/>
      </c>
      <c r="G9" s="24">
        <f>IF('คำนวณ'!$B8=0,"",IF(SMALL('คำนวณ'!$BK8:$CD8,5)&gt;=999999,"",INDEX('ตารางเวร'!$A$10:$A$29,SMALL('คำนวณ'!$BK8:$CD8,5))&amp;IF(UPPER(SUBSTITUTE(INDEX('คำนวณ'!$C8:$V8,SMALL('คำนวณ'!$BK8:$CD8,5)),"*",""))="D","(D)","")))</f>
        <v/>
      </c>
      <c r="H9" s="24">
        <f>IF('คำนวณ'!$B8=0,"",IF(SMALL('คำนวณ'!$BK8:$CD8,6)&gt;=999999,"",INDEX('ตารางเวร'!$A$10:$A$29,SMALL('คำนวณ'!$BK8:$CD8,6))&amp;IF(UPPER(SUBSTITUTE(INDEX('คำนวณ'!$C8:$V8,SMALL('คำนวณ'!$BK8:$CD8,6)),"*",""))="D","(D)","")))</f>
        <v/>
      </c>
      <c r="I9" s="24">
        <f>IF('คำนวณ'!$B8=0,"",IF(SMALL('คำนวณ'!$BK8:$CD8,7)&gt;=999999,"",INDEX('ตารางเวร'!$A$10:$A$29,SMALL('คำนวณ'!$BK8:$CD8,7))&amp;IF(UPPER(SUBSTITUTE(INDEX('คำนวณ'!$C8:$V8,SMALL('คำนวณ'!$BK8:$CD8,7)),"*",""))="D","(D)","")))</f>
        <v/>
      </c>
      <c r="J9" s="24">
        <f>IF('คำนวณ'!$B8=0,"",IF(SMALL('คำนวณ'!$BK8:$CD8,8)&gt;=999999,"",INDEX('ตารางเวร'!$A$10:$A$29,SMALL('คำนวณ'!$BK8:$CD8,8))&amp;IF(UPPER(SUBSTITUTE(INDEX('คำนวณ'!$C8:$V8,SMALL('คำนวณ'!$BK8:$CD8,8)),"*",""))="D","(D)","")))</f>
        <v/>
      </c>
      <c r="K9" s="25">
        <f>IF(OR('คำนวณ'!$B8=0,'คำนวณ'!$CE8=0),"",INDEX('ตารางเวร'!$A$10:$A$29,'คำนวณ'!$CE8)&amp;IF(AND(TRIM('ตารางเวร'!$B$5)&lt;&gt;"",UPPER(SUBSTITUTE(INDEX('คำนวณ'!$C8:$V8,'คำนวณ'!$CE8),"*",""))="D"),"(D)",""))</f>
        <v/>
      </c>
      <c r="L9" s="26">
        <f>IF('คำนวณ'!$B8=0,"",IF('คำนวณ'!$DB8=2,"",IF(SMALL('คำนวณ'!$CF8:$CY8,1)&gt;=999999999,"",INDEX('ตารางเวร'!$A$10:$A$29,MATCH(SMALL('คำนวณ'!$CF8:$CY8,1),'คำนวณ'!$CF8:$CY8,0))&amp;IF(AND(TRIM('ตารางเวร'!$B$5)&lt;&gt;"",UPPER(SUBSTITUTE(INDEX('คำนวณ'!$C8:$V8,MATCH(SMALL('คำนวณ'!$CF8:$CY8,1),'คำนวณ'!$CF8:$CY8,0)),"*",""))="D"),"(D)",""))))</f>
        <v/>
      </c>
      <c r="M9" s="27">
        <f>IF('คำนวณ'!$B8=0,"",IF('คำนวณ'!$DB8=2,IF(SMALL('คำนวณ'!$CF8:$CY8,1)&gt;=999999999,"",INDEX('ตารางเวร'!$A$10:$A$29,MATCH(SMALL('คำนวณ'!$CF8:$CY8,1),'คำนวณ'!$CF8:$CY8,0))&amp;IF(AND(TRIM('ตารางเวร'!$B$5)&lt;&gt;"",UPPER(SUBSTITUTE(INDEX('คำนวณ'!$C8:$V8,MATCH(SMALL('คำนวณ'!$CF8:$CY8,1),'คำนวณ'!$CF8:$CY8,0)),"*",""))="D"),"(D)","")),IF(SMALL('คำนวณ'!$CF8:$CY8,2)&gt;=999999999,"",INDEX('ตารางเวร'!$A$10:$A$29,MATCH(SMALL('คำนวณ'!$CF8:$CY8,2),'คำนวณ'!$CF8:$CY8,0))&amp;IF(AND(TRIM('ตารางเวร'!$B$5)&lt;&gt;"",UPPER(SUBSTITUTE(INDEX('คำนวณ'!$C8:$V8,MATCH(SMALL('คำนวณ'!$CF8:$CY8,2),'คำนวณ'!$CF8:$CY8,0)),"*",""))="D"),"(D)",""))))</f>
        <v/>
      </c>
      <c r="N9" s="28">
        <f>IF('คำนวณ'!$B8=0,"",IF('คำนวณ'!$DB8=2,IF(SMALL('คำนวณ'!$CF8:$CY8,2)&gt;=999999999,"",INDEX('ตารางเวร'!$A$10:$A$29,MATCH(SMALL('คำนวณ'!$CF8:$CY8,2),'คำนวณ'!$CF8:$CY8,0))&amp;IF(AND(TRIM('ตารางเวร'!$B$5)&lt;&gt;"",UPPER(SUBSTITUTE(INDEX('คำนวณ'!$C8:$V8,MATCH(SMALL('คำนวณ'!$CF8:$CY8,2),'คำนวณ'!$CF8:$CY8,0)),"*",""))="D"),"(D)","")),IF(SMALL('คำนวณ'!$CF8:$CY8,3)&gt;=999999999,"",INDEX('ตารางเวร'!$A$10:$A$29,MATCH(SMALL('คำนวณ'!$CF8:$CY8,3),'คำนวณ'!$CF8:$CY8,0))&amp;IF(AND(TRIM('ตารางเวร'!$B$5)&lt;&gt;"",UPPER(SUBSTITUTE(INDEX('คำนวณ'!$C8:$V8,MATCH(SMALL('คำนวณ'!$CF8:$CY8,3),'คำนวณ'!$CF8:$CY8,0)),"*",""))="D"),"(D)",""))))</f>
        <v/>
      </c>
      <c r="O9" s="29">
        <f>IF('คำนวณ'!$B8=0,"",TRIM(IF(SMALL('คำนวณ'!$CF8:$CY8,4)&gt;=999999999,"","  "&amp;INDEX('ตารางเวร'!$A$10:$A$29,MATCH(SMALL('คำนวณ'!$CF8:$CY8,4),'คำนวณ'!$CF8:$CY8,0))&amp;IF(AND(TRIM('ตารางเวร'!$B$5)&lt;&gt;"",UPPER(SUBSTITUTE(INDEX('คำนวณ'!$C8:$V8,MATCH(SMALL('คำนวณ'!$CF8:$CY8,4),'คำนวณ'!$CF8:$CY8,0)),"*",""))="D"),"(D)",""))&amp;IF(SMALL('คำนวณ'!$CF8:$CY8,5)&gt;=999999999,"","  "&amp;INDEX('ตารางเวร'!$A$10:$A$29,MATCH(SMALL('คำนวณ'!$CF8:$CY8,5),'คำนวณ'!$CF8:$CY8,0))&amp;IF(AND(TRIM('ตารางเวร'!$B$5)&lt;&gt;"",UPPER(SUBSTITUTE(INDEX('คำนวณ'!$C8:$V8,MATCH(SMALL('คำนวณ'!$CF8:$CY8,5),'คำนวณ'!$CF8:$CY8,0)),"*",""))="D"),"(D)",""))&amp;IF(SMALL('คำนวณ'!$CF8:$CY8,6)&gt;=999999999,"","  "&amp;INDEX('ตารางเวร'!$A$10:$A$29,MATCH(SMALL('คำนวณ'!$CF8:$CY8,6),'คำนวณ'!$CF8:$CY8,0))&amp;IF(AND(TRIM('ตารางเวร'!$B$5)&lt;&gt;"",UPPER(SUBSTITUTE(INDEX('คำนวณ'!$C8:$V8,MATCH(SMALL('คำนวณ'!$CF8:$CY8,6),'คำนวณ'!$CF8:$CY8,0)),"*",""))="D"),"(D)",""))&amp;IF(SMALL('คำนวณ'!$CF8:$CY8,7)&gt;=999999999,"","  "&amp;INDEX('ตารางเวร'!$A$10:$A$29,MATCH(SMALL('คำนวณ'!$CF8:$CY8,7),'คำนวณ'!$CF8:$CY8,0))&amp;IF(AND(TRIM('ตารางเวร'!$B$5)&lt;&gt;"",UPPER(SUBSTITUTE(INDEX('คำนวณ'!$C8:$V8,MATCH(SMALL('คำนวณ'!$CF8:$CY8,7),'คำนวณ'!$CF8:$CY8,0)),"*",""))="D"),"(D)",""))&amp;IF(SMALL('คำนวณ'!$BK8:$CD8,9)&gt;=999999,"","  "&amp;INDEX('ตารางเวร'!$A$10:$A$29,SMALL('คำนวณ'!$BK8:$CD8,9))&amp;IF(UPPER(SUBSTITUTE(INDEX('คำนวณ'!$C8:$V8,SMALL('คำนวณ'!$BK8:$CD8,9)),"*",""))="D","(D)",""))&amp;IF(SMALL('คำนวณ'!$BK8:$CD8,10)&gt;=999999,"","  "&amp;INDEX('ตารางเวร'!$A$10:$A$29,SMALL('คำนวณ'!$BK8:$CD8,10))&amp;IF(UPPER(SUBSTITUTE(INDEX('คำนวณ'!$C8:$V8,SMALL('คำนวณ'!$BK8:$CD8,10)),"*",""))="D","(D)",""))&amp;IF(SMALL('คำนวณ'!$BK8:$CD8,11)&gt;=999999,"","  "&amp;INDEX('ตารางเวร'!$A$10:$A$29,SMALL('คำนวณ'!$BK8:$CD8,11))&amp;IF(UPPER(SUBSTITUTE(INDEX('คำนวณ'!$C8:$V8,SMALL('คำนวณ'!$BK8:$CD8,11)),"*",""))="D","(D)",""))&amp;IF(SMALL('คำนวณ'!$BK8:$CD8,12)&gt;=999999,"","  "&amp;INDEX('ตารางเวร'!$A$10:$A$29,SMALL('คำนวณ'!$BK8:$CD8,12))&amp;IF(UPPER(SUBSTITUTE(INDEX('คำนวณ'!$C8:$V8,SMALL('คำนวณ'!$BK8:$CD8,12)),"*",""))="D","(D)",""))))</f>
        <v/>
      </c>
    </row>
    <row r="10">
      <c r="A10" s="15">
        <f>IF('คำนวณ'!$B9=0,"",'คำนวณ'!$A9)</f>
        <v/>
      </c>
      <c r="B10" s="15">
        <f>IF('คำนวณ'!$B9=0,"",'ตารางเวร'!I$9)</f>
        <v/>
      </c>
      <c r="C10" s="24">
        <f>IF('คำนวณ'!$B9=0,"",IF(SMALL('คำนวณ'!$BK9:$CD9,1)&gt;=999999,"",INDEX('ตารางเวร'!$A$10:$A$29,SMALL('คำนวณ'!$BK9:$CD9,1))&amp;IF(UPPER(SUBSTITUTE(INDEX('คำนวณ'!$C9:$V9,SMALL('คำนวณ'!$BK9:$CD9,1)),"*",""))="D","(D)","")))</f>
        <v/>
      </c>
      <c r="D10" s="24">
        <f>IF('คำนวณ'!$B9=0,"",IF(SMALL('คำนวณ'!$BK9:$CD9,2)&gt;=999999,"",INDEX('ตารางเวร'!$A$10:$A$29,SMALL('คำนวณ'!$BK9:$CD9,2))&amp;IF(UPPER(SUBSTITUTE(INDEX('คำนวณ'!$C9:$V9,SMALL('คำนวณ'!$BK9:$CD9,2)),"*",""))="D","(D)","")))</f>
        <v/>
      </c>
      <c r="E10" s="24">
        <f>IF('คำนวณ'!$B9=0,"",IF(SMALL('คำนวณ'!$BK9:$CD9,3)&gt;=999999,"",INDEX('ตารางเวร'!$A$10:$A$29,SMALL('คำนวณ'!$BK9:$CD9,3))&amp;IF(UPPER(SUBSTITUTE(INDEX('คำนวณ'!$C9:$V9,SMALL('คำนวณ'!$BK9:$CD9,3)),"*",""))="D","(D)","")))</f>
        <v/>
      </c>
      <c r="F10" s="24">
        <f>IF('คำนวณ'!$B9=0,"",IF(SMALL('คำนวณ'!$BK9:$CD9,4)&gt;=999999,"",INDEX('ตารางเวร'!$A$10:$A$29,SMALL('คำนวณ'!$BK9:$CD9,4))&amp;IF(UPPER(SUBSTITUTE(INDEX('คำนวณ'!$C9:$V9,SMALL('คำนวณ'!$BK9:$CD9,4)),"*",""))="D","(D)","")))</f>
        <v/>
      </c>
      <c r="G10" s="24">
        <f>IF('คำนวณ'!$B9=0,"",IF(SMALL('คำนวณ'!$BK9:$CD9,5)&gt;=999999,"",INDEX('ตารางเวร'!$A$10:$A$29,SMALL('คำนวณ'!$BK9:$CD9,5))&amp;IF(UPPER(SUBSTITUTE(INDEX('คำนวณ'!$C9:$V9,SMALL('คำนวณ'!$BK9:$CD9,5)),"*",""))="D","(D)","")))</f>
        <v/>
      </c>
      <c r="H10" s="24">
        <f>IF('คำนวณ'!$B9=0,"",IF(SMALL('คำนวณ'!$BK9:$CD9,6)&gt;=999999,"",INDEX('ตารางเวร'!$A$10:$A$29,SMALL('คำนวณ'!$BK9:$CD9,6))&amp;IF(UPPER(SUBSTITUTE(INDEX('คำนวณ'!$C9:$V9,SMALL('คำนวณ'!$BK9:$CD9,6)),"*",""))="D","(D)","")))</f>
        <v/>
      </c>
      <c r="I10" s="24">
        <f>IF('คำนวณ'!$B9=0,"",IF(SMALL('คำนวณ'!$BK9:$CD9,7)&gt;=999999,"",INDEX('ตารางเวร'!$A$10:$A$29,SMALL('คำนวณ'!$BK9:$CD9,7))&amp;IF(UPPER(SUBSTITUTE(INDEX('คำนวณ'!$C9:$V9,SMALL('คำนวณ'!$BK9:$CD9,7)),"*",""))="D","(D)","")))</f>
        <v/>
      </c>
      <c r="J10" s="24">
        <f>IF('คำนวณ'!$B9=0,"",IF(SMALL('คำนวณ'!$BK9:$CD9,8)&gt;=999999,"",INDEX('ตารางเวร'!$A$10:$A$29,SMALL('คำนวณ'!$BK9:$CD9,8))&amp;IF(UPPER(SUBSTITUTE(INDEX('คำนวณ'!$C9:$V9,SMALL('คำนวณ'!$BK9:$CD9,8)),"*",""))="D","(D)","")))</f>
        <v/>
      </c>
      <c r="K10" s="25">
        <f>IF(OR('คำนวณ'!$B9=0,'คำนวณ'!$CE9=0),"",INDEX('ตารางเวร'!$A$10:$A$29,'คำนวณ'!$CE9)&amp;IF(AND(TRIM('ตารางเวร'!$B$5)&lt;&gt;"",UPPER(SUBSTITUTE(INDEX('คำนวณ'!$C9:$V9,'คำนวณ'!$CE9),"*",""))="D"),"(D)",""))</f>
        <v/>
      </c>
      <c r="L10" s="26">
        <f>IF('คำนวณ'!$B9=0,"",IF('คำนวณ'!$DB9=2,"",IF(SMALL('คำนวณ'!$CF9:$CY9,1)&gt;=999999999,"",INDEX('ตารางเวร'!$A$10:$A$29,MATCH(SMALL('คำนวณ'!$CF9:$CY9,1),'คำนวณ'!$CF9:$CY9,0))&amp;IF(AND(TRIM('ตารางเวร'!$B$5)&lt;&gt;"",UPPER(SUBSTITUTE(INDEX('คำนวณ'!$C9:$V9,MATCH(SMALL('คำนวณ'!$CF9:$CY9,1),'คำนวณ'!$CF9:$CY9,0)),"*",""))="D"),"(D)",""))))</f>
        <v/>
      </c>
      <c r="M10" s="27">
        <f>IF('คำนวณ'!$B9=0,"",IF('คำนวณ'!$DB9=2,IF(SMALL('คำนวณ'!$CF9:$CY9,1)&gt;=999999999,"",INDEX('ตารางเวร'!$A$10:$A$29,MATCH(SMALL('คำนวณ'!$CF9:$CY9,1),'คำนวณ'!$CF9:$CY9,0))&amp;IF(AND(TRIM('ตารางเวร'!$B$5)&lt;&gt;"",UPPER(SUBSTITUTE(INDEX('คำนวณ'!$C9:$V9,MATCH(SMALL('คำนวณ'!$CF9:$CY9,1),'คำนวณ'!$CF9:$CY9,0)),"*",""))="D"),"(D)","")),IF(SMALL('คำนวณ'!$CF9:$CY9,2)&gt;=999999999,"",INDEX('ตารางเวร'!$A$10:$A$29,MATCH(SMALL('คำนวณ'!$CF9:$CY9,2),'คำนวณ'!$CF9:$CY9,0))&amp;IF(AND(TRIM('ตารางเวร'!$B$5)&lt;&gt;"",UPPER(SUBSTITUTE(INDEX('คำนวณ'!$C9:$V9,MATCH(SMALL('คำนวณ'!$CF9:$CY9,2),'คำนวณ'!$CF9:$CY9,0)),"*",""))="D"),"(D)",""))))</f>
        <v/>
      </c>
      <c r="N10" s="28">
        <f>IF('คำนวณ'!$B9=0,"",IF('คำนวณ'!$DB9=2,IF(SMALL('คำนวณ'!$CF9:$CY9,2)&gt;=999999999,"",INDEX('ตารางเวร'!$A$10:$A$29,MATCH(SMALL('คำนวณ'!$CF9:$CY9,2),'คำนวณ'!$CF9:$CY9,0))&amp;IF(AND(TRIM('ตารางเวร'!$B$5)&lt;&gt;"",UPPER(SUBSTITUTE(INDEX('คำนวณ'!$C9:$V9,MATCH(SMALL('คำนวณ'!$CF9:$CY9,2),'คำนวณ'!$CF9:$CY9,0)),"*",""))="D"),"(D)","")),IF(SMALL('คำนวณ'!$CF9:$CY9,3)&gt;=999999999,"",INDEX('ตารางเวร'!$A$10:$A$29,MATCH(SMALL('คำนวณ'!$CF9:$CY9,3),'คำนวณ'!$CF9:$CY9,0))&amp;IF(AND(TRIM('ตารางเวร'!$B$5)&lt;&gt;"",UPPER(SUBSTITUTE(INDEX('คำนวณ'!$C9:$V9,MATCH(SMALL('คำนวณ'!$CF9:$CY9,3),'คำนวณ'!$CF9:$CY9,0)),"*",""))="D"),"(D)",""))))</f>
        <v/>
      </c>
      <c r="O10" s="29">
        <f>IF('คำนวณ'!$B9=0,"",TRIM(IF(SMALL('คำนวณ'!$CF9:$CY9,4)&gt;=999999999,"","  "&amp;INDEX('ตารางเวร'!$A$10:$A$29,MATCH(SMALL('คำนวณ'!$CF9:$CY9,4),'คำนวณ'!$CF9:$CY9,0))&amp;IF(AND(TRIM('ตารางเวร'!$B$5)&lt;&gt;"",UPPER(SUBSTITUTE(INDEX('คำนวณ'!$C9:$V9,MATCH(SMALL('คำนวณ'!$CF9:$CY9,4),'คำนวณ'!$CF9:$CY9,0)),"*",""))="D"),"(D)",""))&amp;IF(SMALL('คำนวณ'!$CF9:$CY9,5)&gt;=999999999,"","  "&amp;INDEX('ตารางเวร'!$A$10:$A$29,MATCH(SMALL('คำนวณ'!$CF9:$CY9,5),'คำนวณ'!$CF9:$CY9,0))&amp;IF(AND(TRIM('ตารางเวร'!$B$5)&lt;&gt;"",UPPER(SUBSTITUTE(INDEX('คำนวณ'!$C9:$V9,MATCH(SMALL('คำนวณ'!$CF9:$CY9,5),'คำนวณ'!$CF9:$CY9,0)),"*",""))="D"),"(D)",""))&amp;IF(SMALL('คำนวณ'!$CF9:$CY9,6)&gt;=999999999,"","  "&amp;INDEX('ตารางเวร'!$A$10:$A$29,MATCH(SMALL('คำนวณ'!$CF9:$CY9,6),'คำนวณ'!$CF9:$CY9,0))&amp;IF(AND(TRIM('ตารางเวร'!$B$5)&lt;&gt;"",UPPER(SUBSTITUTE(INDEX('คำนวณ'!$C9:$V9,MATCH(SMALL('คำนวณ'!$CF9:$CY9,6),'คำนวณ'!$CF9:$CY9,0)),"*",""))="D"),"(D)",""))&amp;IF(SMALL('คำนวณ'!$CF9:$CY9,7)&gt;=999999999,"","  "&amp;INDEX('ตารางเวร'!$A$10:$A$29,MATCH(SMALL('คำนวณ'!$CF9:$CY9,7),'คำนวณ'!$CF9:$CY9,0))&amp;IF(AND(TRIM('ตารางเวร'!$B$5)&lt;&gt;"",UPPER(SUBSTITUTE(INDEX('คำนวณ'!$C9:$V9,MATCH(SMALL('คำนวณ'!$CF9:$CY9,7),'คำนวณ'!$CF9:$CY9,0)),"*",""))="D"),"(D)",""))&amp;IF(SMALL('คำนวณ'!$BK9:$CD9,9)&gt;=999999,"","  "&amp;INDEX('ตารางเวร'!$A$10:$A$29,SMALL('คำนวณ'!$BK9:$CD9,9))&amp;IF(UPPER(SUBSTITUTE(INDEX('คำนวณ'!$C9:$V9,SMALL('คำนวณ'!$BK9:$CD9,9)),"*",""))="D","(D)",""))&amp;IF(SMALL('คำนวณ'!$BK9:$CD9,10)&gt;=999999,"","  "&amp;INDEX('ตารางเวร'!$A$10:$A$29,SMALL('คำนวณ'!$BK9:$CD9,10))&amp;IF(UPPER(SUBSTITUTE(INDEX('คำนวณ'!$C9:$V9,SMALL('คำนวณ'!$BK9:$CD9,10)),"*",""))="D","(D)",""))&amp;IF(SMALL('คำนวณ'!$BK9:$CD9,11)&gt;=999999,"","  "&amp;INDEX('ตารางเวร'!$A$10:$A$29,SMALL('คำนวณ'!$BK9:$CD9,11))&amp;IF(UPPER(SUBSTITUTE(INDEX('คำนวณ'!$C9:$V9,SMALL('คำนวณ'!$BK9:$CD9,11)),"*",""))="D","(D)",""))&amp;IF(SMALL('คำนวณ'!$BK9:$CD9,12)&gt;=999999,"","  "&amp;INDEX('ตารางเวร'!$A$10:$A$29,SMALL('คำนวณ'!$BK9:$CD9,12))&amp;IF(UPPER(SUBSTITUTE(INDEX('คำนวณ'!$C9:$V9,SMALL('คำนวณ'!$BK9:$CD9,12)),"*",""))="D","(D)",""))))</f>
        <v/>
      </c>
    </row>
    <row r="11">
      <c r="A11" s="15">
        <f>IF('คำนวณ'!$B10=0,"",'คำนวณ'!$A10)</f>
        <v/>
      </c>
      <c r="B11" s="15">
        <f>IF('คำนวณ'!$B10=0,"",'ตารางเวร'!J$9)</f>
        <v/>
      </c>
      <c r="C11" s="24">
        <f>IF('คำนวณ'!$B10=0,"",IF(SMALL('คำนวณ'!$BK10:$CD10,1)&gt;=999999,"",INDEX('ตารางเวร'!$A$10:$A$29,SMALL('คำนวณ'!$BK10:$CD10,1))&amp;IF(UPPER(SUBSTITUTE(INDEX('คำนวณ'!$C10:$V10,SMALL('คำนวณ'!$BK10:$CD10,1)),"*",""))="D","(D)","")))</f>
        <v/>
      </c>
      <c r="D11" s="24">
        <f>IF('คำนวณ'!$B10=0,"",IF(SMALL('คำนวณ'!$BK10:$CD10,2)&gt;=999999,"",INDEX('ตารางเวร'!$A$10:$A$29,SMALL('คำนวณ'!$BK10:$CD10,2))&amp;IF(UPPER(SUBSTITUTE(INDEX('คำนวณ'!$C10:$V10,SMALL('คำนวณ'!$BK10:$CD10,2)),"*",""))="D","(D)","")))</f>
        <v/>
      </c>
      <c r="E11" s="24">
        <f>IF('คำนวณ'!$B10=0,"",IF(SMALL('คำนวณ'!$BK10:$CD10,3)&gt;=999999,"",INDEX('ตารางเวร'!$A$10:$A$29,SMALL('คำนวณ'!$BK10:$CD10,3))&amp;IF(UPPER(SUBSTITUTE(INDEX('คำนวณ'!$C10:$V10,SMALL('คำนวณ'!$BK10:$CD10,3)),"*",""))="D","(D)","")))</f>
        <v/>
      </c>
      <c r="F11" s="24">
        <f>IF('คำนวณ'!$B10=0,"",IF(SMALL('คำนวณ'!$BK10:$CD10,4)&gt;=999999,"",INDEX('ตารางเวร'!$A$10:$A$29,SMALL('คำนวณ'!$BK10:$CD10,4))&amp;IF(UPPER(SUBSTITUTE(INDEX('คำนวณ'!$C10:$V10,SMALL('คำนวณ'!$BK10:$CD10,4)),"*",""))="D","(D)","")))</f>
        <v/>
      </c>
      <c r="G11" s="24">
        <f>IF('คำนวณ'!$B10=0,"",IF(SMALL('คำนวณ'!$BK10:$CD10,5)&gt;=999999,"",INDEX('ตารางเวร'!$A$10:$A$29,SMALL('คำนวณ'!$BK10:$CD10,5))&amp;IF(UPPER(SUBSTITUTE(INDEX('คำนวณ'!$C10:$V10,SMALL('คำนวณ'!$BK10:$CD10,5)),"*",""))="D","(D)","")))</f>
        <v/>
      </c>
      <c r="H11" s="24">
        <f>IF('คำนวณ'!$B10=0,"",IF(SMALL('คำนวณ'!$BK10:$CD10,6)&gt;=999999,"",INDEX('ตารางเวร'!$A$10:$A$29,SMALL('คำนวณ'!$BK10:$CD10,6))&amp;IF(UPPER(SUBSTITUTE(INDEX('คำนวณ'!$C10:$V10,SMALL('คำนวณ'!$BK10:$CD10,6)),"*",""))="D","(D)","")))</f>
        <v/>
      </c>
      <c r="I11" s="24">
        <f>IF('คำนวณ'!$B10=0,"",IF(SMALL('คำนวณ'!$BK10:$CD10,7)&gt;=999999,"",INDEX('ตารางเวร'!$A$10:$A$29,SMALL('คำนวณ'!$BK10:$CD10,7))&amp;IF(UPPER(SUBSTITUTE(INDEX('คำนวณ'!$C10:$V10,SMALL('คำนวณ'!$BK10:$CD10,7)),"*",""))="D","(D)","")))</f>
        <v/>
      </c>
      <c r="J11" s="24">
        <f>IF('คำนวณ'!$B10=0,"",IF(SMALL('คำนวณ'!$BK10:$CD10,8)&gt;=999999,"",INDEX('ตารางเวร'!$A$10:$A$29,SMALL('คำนวณ'!$BK10:$CD10,8))&amp;IF(UPPER(SUBSTITUTE(INDEX('คำนวณ'!$C10:$V10,SMALL('คำนวณ'!$BK10:$CD10,8)),"*",""))="D","(D)","")))</f>
        <v/>
      </c>
      <c r="K11" s="25">
        <f>IF(OR('คำนวณ'!$B10=0,'คำนวณ'!$CE10=0),"",INDEX('ตารางเวร'!$A$10:$A$29,'คำนวณ'!$CE10)&amp;IF(AND(TRIM('ตารางเวร'!$B$5)&lt;&gt;"",UPPER(SUBSTITUTE(INDEX('คำนวณ'!$C10:$V10,'คำนวณ'!$CE10),"*",""))="D"),"(D)",""))</f>
        <v/>
      </c>
      <c r="L11" s="26">
        <f>IF('คำนวณ'!$B10=0,"",IF('คำนวณ'!$DB10=2,"",IF(SMALL('คำนวณ'!$CF10:$CY10,1)&gt;=999999999,"",INDEX('ตารางเวร'!$A$10:$A$29,MATCH(SMALL('คำนวณ'!$CF10:$CY10,1),'คำนวณ'!$CF10:$CY10,0))&amp;IF(AND(TRIM('ตารางเวร'!$B$5)&lt;&gt;"",UPPER(SUBSTITUTE(INDEX('คำนวณ'!$C10:$V10,MATCH(SMALL('คำนวณ'!$CF10:$CY10,1),'คำนวณ'!$CF10:$CY10,0)),"*",""))="D"),"(D)",""))))</f>
        <v/>
      </c>
      <c r="M11" s="27">
        <f>IF('คำนวณ'!$B10=0,"",IF('คำนวณ'!$DB10=2,IF(SMALL('คำนวณ'!$CF10:$CY10,1)&gt;=999999999,"",INDEX('ตารางเวร'!$A$10:$A$29,MATCH(SMALL('คำนวณ'!$CF10:$CY10,1),'คำนวณ'!$CF10:$CY10,0))&amp;IF(AND(TRIM('ตารางเวร'!$B$5)&lt;&gt;"",UPPER(SUBSTITUTE(INDEX('คำนวณ'!$C10:$V10,MATCH(SMALL('คำนวณ'!$CF10:$CY10,1),'คำนวณ'!$CF10:$CY10,0)),"*",""))="D"),"(D)","")),IF(SMALL('คำนวณ'!$CF10:$CY10,2)&gt;=999999999,"",INDEX('ตารางเวร'!$A$10:$A$29,MATCH(SMALL('คำนวณ'!$CF10:$CY10,2),'คำนวณ'!$CF10:$CY10,0))&amp;IF(AND(TRIM('ตารางเวร'!$B$5)&lt;&gt;"",UPPER(SUBSTITUTE(INDEX('คำนวณ'!$C10:$V10,MATCH(SMALL('คำนวณ'!$CF10:$CY10,2),'คำนวณ'!$CF10:$CY10,0)),"*",""))="D"),"(D)",""))))</f>
        <v/>
      </c>
      <c r="N11" s="28">
        <f>IF('คำนวณ'!$B10=0,"",IF('คำนวณ'!$DB10=2,IF(SMALL('คำนวณ'!$CF10:$CY10,2)&gt;=999999999,"",INDEX('ตารางเวร'!$A$10:$A$29,MATCH(SMALL('คำนวณ'!$CF10:$CY10,2),'คำนวณ'!$CF10:$CY10,0))&amp;IF(AND(TRIM('ตารางเวร'!$B$5)&lt;&gt;"",UPPER(SUBSTITUTE(INDEX('คำนวณ'!$C10:$V10,MATCH(SMALL('คำนวณ'!$CF10:$CY10,2),'คำนวณ'!$CF10:$CY10,0)),"*",""))="D"),"(D)","")),IF(SMALL('คำนวณ'!$CF10:$CY10,3)&gt;=999999999,"",INDEX('ตารางเวร'!$A$10:$A$29,MATCH(SMALL('คำนวณ'!$CF10:$CY10,3),'คำนวณ'!$CF10:$CY10,0))&amp;IF(AND(TRIM('ตารางเวร'!$B$5)&lt;&gt;"",UPPER(SUBSTITUTE(INDEX('คำนวณ'!$C10:$V10,MATCH(SMALL('คำนวณ'!$CF10:$CY10,3),'คำนวณ'!$CF10:$CY10,0)),"*",""))="D"),"(D)",""))))</f>
        <v/>
      </c>
      <c r="O11" s="29">
        <f>IF('คำนวณ'!$B10=0,"",TRIM(IF(SMALL('คำนวณ'!$CF10:$CY10,4)&gt;=999999999,"","  "&amp;INDEX('ตารางเวร'!$A$10:$A$29,MATCH(SMALL('คำนวณ'!$CF10:$CY10,4),'คำนวณ'!$CF10:$CY10,0))&amp;IF(AND(TRIM('ตารางเวร'!$B$5)&lt;&gt;"",UPPER(SUBSTITUTE(INDEX('คำนวณ'!$C10:$V10,MATCH(SMALL('คำนวณ'!$CF10:$CY10,4),'คำนวณ'!$CF10:$CY10,0)),"*",""))="D"),"(D)",""))&amp;IF(SMALL('คำนวณ'!$CF10:$CY10,5)&gt;=999999999,"","  "&amp;INDEX('ตารางเวร'!$A$10:$A$29,MATCH(SMALL('คำนวณ'!$CF10:$CY10,5),'คำนวณ'!$CF10:$CY10,0))&amp;IF(AND(TRIM('ตารางเวร'!$B$5)&lt;&gt;"",UPPER(SUBSTITUTE(INDEX('คำนวณ'!$C10:$V10,MATCH(SMALL('คำนวณ'!$CF10:$CY10,5),'คำนวณ'!$CF10:$CY10,0)),"*",""))="D"),"(D)",""))&amp;IF(SMALL('คำนวณ'!$CF10:$CY10,6)&gt;=999999999,"","  "&amp;INDEX('ตารางเวร'!$A$10:$A$29,MATCH(SMALL('คำนวณ'!$CF10:$CY10,6),'คำนวณ'!$CF10:$CY10,0))&amp;IF(AND(TRIM('ตารางเวร'!$B$5)&lt;&gt;"",UPPER(SUBSTITUTE(INDEX('คำนวณ'!$C10:$V10,MATCH(SMALL('คำนวณ'!$CF10:$CY10,6),'คำนวณ'!$CF10:$CY10,0)),"*",""))="D"),"(D)",""))&amp;IF(SMALL('คำนวณ'!$CF10:$CY10,7)&gt;=999999999,"","  "&amp;INDEX('ตารางเวร'!$A$10:$A$29,MATCH(SMALL('คำนวณ'!$CF10:$CY10,7),'คำนวณ'!$CF10:$CY10,0))&amp;IF(AND(TRIM('ตารางเวร'!$B$5)&lt;&gt;"",UPPER(SUBSTITUTE(INDEX('คำนวณ'!$C10:$V10,MATCH(SMALL('คำนวณ'!$CF10:$CY10,7),'คำนวณ'!$CF10:$CY10,0)),"*",""))="D"),"(D)",""))&amp;IF(SMALL('คำนวณ'!$BK10:$CD10,9)&gt;=999999,"","  "&amp;INDEX('ตารางเวร'!$A$10:$A$29,SMALL('คำนวณ'!$BK10:$CD10,9))&amp;IF(UPPER(SUBSTITUTE(INDEX('คำนวณ'!$C10:$V10,SMALL('คำนวณ'!$BK10:$CD10,9)),"*",""))="D","(D)",""))&amp;IF(SMALL('คำนวณ'!$BK10:$CD10,10)&gt;=999999,"","  "&amp;INDEX('ตารางเวร'!$A$10:$A$29,SMALL('คำนวณ'!$BK10:$CD10,10))&amp;IF(UPPER(SUBSTITUTE(INDEX('คำนวณ'!$C10:$V10,SMALL('คำนวณ'!$BK10:$CD10,10)),"*",""))="D","(D)",""))&amp;IF(SMALL('คำนวณ'!$BK10:$CD10,11)&gt;=999999,"","  "&amp;INDEX('ตารางเวร'!$A$10:$A$29,SMALL('คำนวณ'!$BK10:$CD10,11))&amp;IF(UPPER(SUBSTITUTE(INDEX('คำนวณ'!$C10:$V10,SMALL('คำนวณ'!$BK10:$CD10,11)),"*",""))="D","(D)",""))&amp;IF(SMALL('คำนวณ'!$BK10:$CD10,12)&gt;=999999,"","  "&amp;INDEX('ตารางเวร'!$A$10:$A$29,SMALL('คำนวณ'!$BK10:$CD10,12))&amp;IF(UPPER(SUBSTITUTE(INDEX('คำนวณ'!$C10:$V10,SMALL('คำนวณ'!$BK10:$CD10,12)),"*",""))="D","(D)",""))))</f>
        <v/>
      </c>
    </row>
    <row r="12">
      <c r="A12" s="15">
        <f>IF('คำนวณ'!$B11=0,"",'คำนวณ'!$A11)</f>
        <v/>
      </c>
      <c r="B12" s="15">
        <f>IF('คำนวณ'!$B11=0,"",'ตารางเวร'!K$9)</f>
        <v/>
      </c>
      <c r="C12" s="24">
        <f>IF('คำนวณ'!$B11=0,"",IF(SMALL('คำนวณ'!$BK11:$CD11,1)&gt;=999999,"",INDEX('ตารางเวร'!$A$10:$A$29,SMALL('คำนวณ'!$BK11:$CD11,1))&amp;IF(UPPER(SUBSTITUTE(INDEX('คำนวณ'!$C11:$V11,SMALL('คำนวณ'!$BK11:$CD11,1)),"*",""))="D","(D)","")))</f>
        <v/>
      </c>
      <c r="D12" s="24">
        <f>IF('คำนวณ'!$B11=0,"",IF(SMALL('คำนวณ'!$BK11:$CD11,2)&gt;=999999,"",INDEX('ตารางเวร'!$A$10:$A$29,SMALL('คำนวณ'!$BK11:$CD11,2))&amp;IF(UPPER(SUBSTITUTE(INDEX('คำนวณ'!$C11:$V11,SMALL('คำนวณ'!$BK11:$CD11,2)),"*",""))="D","(D)","")))</f>
        <v/>
      </c>
      <c r="E12" s="24">
        <f>IF('คำนวณ'!$B11=0,"",IF(SMALL('คำนวณ'!$BK11:$CD11,3)&gt;=999999,"",INDEX('ตารางเวร'!$A$10:$A$29,SMALL('คำนวณ'!$BK11:$CD11,3))&amp;IF(UPPER(SUBSTITUTE(INDEX('คำนวณ'!$C11:$V11,SMALL('คำนวณ'!$BK11:$CD11,3)),"*",""))="D","(D)","")))</f>
        <v/>
      </c>
      <c r="F12" s="24">
        <f>IF('คำนวณ'!$B11=0,"",IF(SMALL('คำนวณ'!$BK11:$CD11,4)&gt;=999999,"",INDEX('ตารางเวร'!$A$10:$A$29,SMALL('คำนวณ'!$BK11:$CD11,4))&amp;IF(UPPER(SUBSTITUTE(INDEX('คำนวณ'!$C11:$V11,SMALL('คำนวณ'!$BK11:$CD11,4)),"*",""))="D","(D)","")))</f>
        <v/>
      </c>
      <c r="G12" s="24">
        <f>IF('คำนวณ'!$B11=0,"",IF(SMALL('คำนวณ'!$BK11:$CD11,5)&gt;=999999,"",INDEX('ตารางเวร'!$A$10:$A$29,SMALL('คำนวณ'!$BK11:$CD11,5))&amp;IF(UPPER(SUBSTITUTE(INDEX('คำนวณ'!$C11:$V11,SMALL('คำนวณ'!$BK11:$CD11,5)),"*",""))="D","(D)","")))</f>
        <v/>
      </c>
      <c r="H12" s="24">
        <f>IF('คำนวณ'!$B11=0,"",IF(SMALL('คำนวณ'!$BK11:$CD11,6)&gt;=999999,"",INDEX('ตารางเวร'!$A$10:$A$29,SMALL('คำนวณ'!$BK11:$CD11,6))&amp;IF(UPPER(SUBSTITUTE(INDEX('คำนวณ'!$C11:$V11,SMALL('คำนวณ'!$BK11:$CD11,6)),"*",""))="D","(D)","")))</f>
        <v/>
      </c>
      <c r="I12" s="24">
        <f>IF('คำนวณ'!$B11=0,"",IF(SMALL('คำนวณ'!$BK11:$CD11,7)&gt;=999999,"",INDEX('ตารางเวร'!$A$10:$A$29,SMALL('คำนวณ'!$BK11:$CD11,7))&amp;IF(UPPER(SUBSTITUTE(INDEX('คำนวณ'!$C11:$V11,SMALL('คำนวณ'!$BK11:$CD11,7)),"*",""))="D","(D)","")))</f>
        <v/>
      </c>
      <c r="J12" s="24">
        <f>IF('คำนวณ'!$B11=0,"",IF(SMALL('คำนวณ'!$BK11:$CD11,8)&gt;=999999,"",INDEX('ตารางเวร'!$A$10:$A$29,SMALL('คำนวณ'!$BK11:$CD11,8))&amp;IF(UPPER(SUBSTITUTE(INDEX('คำนวณ'!$C11:$V11,SMALL('คำนวณ'!$BK11:$CD11,8)),"*",""))="D","(D)","")))</f>
        <v/>
      </c>
      <c r="K12" s="25">
        <f>IF(OR('คำนวณ'!$B11=0,'คำนวณ'!$CE11=0),"",INDEX('ตารางเวร'!$A$10:$A$29,'คำนวณ'!$CE11)&amp;IF(AND(TRIM('ตารางเวร'!$B$5)&lt;&gt;"",UPPER(SUBSTITUTE(INDEX('คำนวณ'!$C11:$V11,'คำนวณ'!$CE11),"*",""))="D"),"(D)",""))</f>
        <v/>
      </c>
      <c r="L12" s="26">
        <f>IF('คำนวณ'!$B11=0,"",IF('คำนวณ'!$DB11=2,"",IF(SMALL('คำนวณ'!$CF11:$CY11,1)&gt;=999999999,"",INDEX('ตารางเวร'!$A$10:$A$29,MATCH(SMALL('คำนวณ'!$CF11:$CY11,1),'คำนวณ'!$CF11:$CY11,0))&amp;IF(AND(TRIM('ตารางเวร'!$B$5)&lt;&gt;"",UPPER(SUBSTITUTE(INDEX('คำนวณ'!$C11:$V11,MATCH(SMALL('คำนวณ'!$CF11:$CY11,1),'คำนวณ'!$CF11:$CY11,0)),"*",""))="D"),"(D)",""))))</f>
        <v/>
      </c>
      <c r="M12" s="27">
        <f>IF('คำนวณ'!$B11=0,"",IF('คำนวณ'!$DB11=2,IF(SMALL('คำนวณ'!$CF11:$CY11,1)&gt;=999999999,"",INDEX('ตารางเวร'!$A$10:$A$29,MATCH(SMALL('คำนวณ'!$CF11:$CY11,1),'คำนวณ'!$CF11:$CY11,0))&amp;IF(AND(TRIM('ตารางเวร'!$B$5)&lt;&gt;"",UPPER(SUBSTITUTE(INDEX('คำนวณ'!$C11:$V11,MATCH(SMALL('คำนวณ'!$CF11:$CY11,1),'คำนวณ'!$CF11:$CY11,0)),"*",""))="D"),"(D)","")),IF(SMALL('คำนวณ'!$CF11:$CY11,2)&gt;=999999999,"",INDEX('ตารางเวร'!$A$10:$A$29,MATCH(SMALL('คำนวณ'!$CF11:$CY11,2),'คำนวณ'!$CF11:$CY11,0))&amp;IF(AND(TRIM('ตารางเวร'!$B$5)&lt;&gt;"",UPPER(SUBSTITUTE(INDEX('คำนวณ'!$C11:$V11,MATCH(SMALL('คำนวณ'!$CF11:$CY11,2),'คำนวณ'!$CF11:$CY11,0)),"*",""))="D"),"(D)",""))))</f>
        <v/>
      </c>
      <c r="N12" s="28">
        <f>IF('คำนวณ'!$B11=0,"",IF('คำนวณ'!$DB11=2,IF(SMALL('คำนวณ'!$CF11:$CY11,2)&gt;=999999999,"",INDEX('ตารางเวร'!$A$10:$A$29,MATCH(SMALL('คำนวณ'!$CF11:$CY11,2),'คำนวณ'!$CF11:$CY11,0))&amp;IF(AND(TRIM('ตารางเวร'!$B$5)&lt;&gt;"",UPPER(SUBSTITUTE(INDEX('คำนวณ'!$C11:$V11,MATCH(SMALL('คำนวณ'!$CF11:$CY11,2),'คำนวณ'!$CF11:$CY11,0)),"*",""))="D"),"(D)","")),IF(SMALL('คำนวณ'!$CF11:$CY11,3)&gt;=999999999,"",INDEX('ตารางเวร'!$A$10:$A$29,MATCH(SMALL('คำนวณ'!$CF11:$CY11,3),'คำนวณ'!$CF11:$CY11,0))&amp;IF(AND(TRIM('ตารางเวร'!$B$5)&lt;&gt;"",UPPER(SUBSTITUTE(INDEX('คำนวณ'!$C11:$V11,MATCH(SMALL('คำนวณ'!$CF11:$CY11,3),'คำนวณ'!$CF11:$CY11,0)),"*",""))="D"),"(D)",""))))</f>
        <v/>
      </c>
      <c r="O12" s="29">
        <f>IF('คำนวณ'!$B11=0,"",TRIM(IF(SMALL('คำนวณ'!$CF11:$CY11,4)&gt;=999999999,"","  "&amp;INDEX('ตารางเวร'!$A$10:$A$29,MATCH(SMALL('คำนวณ'!$CF11:$CY11,4),'คำนวณ'!$CF11:$CY11,0))&amp;IF(AND(TRIM('ตารางเวร'!$B$5)&lt;&gt;"",UPPER(SUBSTITUTE(INDEX('คำนวณ'!$C11:$V11,MATCH(SMALL('คำนวณ'!$CF11:$CY11,4),'คำนวณ'!$CF11:$CY11,0)),"*",""))="D"),"(D)",""))&amp;IF(SMALL('คำนวณ'!$CF11:$CY11,5)&gt;=999999999,"","  "&amp;INDEX('ตารางเวร'!$A$10:$A$29,MATCH(SMALL('คำนวณ'!$CF11:$CY11,5),'คำนวณ'!$CF11:$CY11,0))&amp;IF(AND(TRIM('ตารางเวร'!$B$5)&lt;&gt;"",UPPER(SUBSTITUTE(INDEX('คำนวณ'!$C11:$V11,MATCH(SMALL('คำนวณ'!$CF11:$CY11,5),'คำนวณ'!$CF11:$CY11,0)),"*",""))="D"),"(D)",""))&amp;IF(SMALL('คำนวณ'!$CF11:$CY11,6)&gt;=999999999,"","  "&amp;INDEX('ตารางเวร'!$A$10:$A$29,MATCH(SMALL('คำนวณ'!$CF11:$CY11,6),'คำนวณ'!$CF11:$CY11,0))&amp;IF(AND(TRIM('ตารางเวร'!$B$5)&lt;&gt;"",UPPER(SUBSTITUTE(INDEX('คำนวณ'!$C11:$V11,MATCH(SMALL('คำนวณ'!$CF11:$CY11,6),'คำนวณ'!$CF11:$CY11,0)),"*",""))="D"),"(D)",""))&amp;IF(SMALL('คำนวณ'!$CF11:$CY11,7)&gt;=999999999,"","  "&amp;INDEX('ตารางเวร'!$A$10:$A$29,MATCH(SMALL('คำนวณ'!$CF11:$CY11,7),'คำนวณ'!$CF11:$CY11,0))&amp;IF(AND(TRIM('ตารางเวร'!$B$5)&lt;&gt;"",UPPER(SUBSTITUTE(INDEX('คำนวณ'!$C11:$V11,MATCH(SMALL('คำนวณ'!$CF11:$CY11,7),'คำนวณ'!$CF11:$CY11,0)),"*",""))="D"),"(D)",""))&amp;IF(SMALL('คำนวณ'!$BK11:$CD11,9)&gt;=999999,"","  "&amp;INDEX('ตารางเวร'!$A$10:$A$29,SMALL('คำนวณ'!$BK11:$CD11,9))&amp;IF(UPPER(SUBSTITUTE(INDEX('คำนวณ'!$C11:$V11,SMALL('คำนวณ'!$BK11:$CD11,9)),"*",""))="D","(D)",""))&amp;IF(SMALL('คำนวณ'!$BK11:$CD11,10)&gt;=999999,"","  "&amp;INDEX('ตารางเวร'!$A$10:$A$29,SMALL('คำนวณ'!$BK11:$CD11,10))&amp;IF(UPPER(SUBSTITUTE(INDEX('คำนวณ'!$C11:$V11,SMALL('คำนวณ'!$BK11:$CD11,10)),"*",""))="D","(D)",""))&amp;IF(SMALL('คำนวณ'!$BK11:$CD11,11)&gt;=999999,"","  "&amp;INDEX('ตารางเวร'!$A$10:$A$29,SMALL('คำนวณ'!$BK11:$CD11,11))&amp;IF(UPPER(SUBSTITUTE(INDEX('คำนวณ'!$C11:$V11,SMALL('คำนวณ'!$BK11:$CD11,11)),"*",""))="D","(D)",""))&amp;IF(SMALL('คำนวณ'!$BK11:$CD11,12)&gt;=999999,"","  "&amp;INDEX('ตารางเวร'!$A$10:$A$29,SMALL('คำนวณ'!$BK11:$CD11,12))&amp;IF(UPPER(SUBSTITUTE(INDEX('คำนวณ'!$C11:$V11,SMALL('คำนวณ'!$BK11:$CD11,12)),"*",""))="D","(D)",""))))</f>
        <v/>
      </c>
    </row>
    <row r="13">
      <c r="A13" s="15">
        <f>IF('คำนวณ'!$B12=0,"",'คำนวณ'!$A12)</f>
        <v/>
      </c>
      <c r="B13" s="15">
        <f>IF('คำนวณ'!$B12=0,"",'ตารางเวร'!L$9)</f>
        <v/>
      </c>
      <c r="C13" s="24">
        <f>IF('คำนวณ'!$B12=0,"",IF(SMALL('คำนวณ'!$BK12:$CD12,1)&gt;=999999,"",INDEX('ตารางเวร'!$A$10:$A$29,SMALL('คำนวณ'!$BK12:$CD12,1))&amp;IF(UPPER(SUBSTITUTE(INDEX('คำนวณ'!$C12:$V12,SMALL('คำนวณ'!$BK12:$CD12,1)),"*",""))="D","(D)","")))</f>
        <v/>
      </c>
      <c r="D13" s="24">
        <f>IF('คำนวณ'!$B12=0,"",IF(SMALL('คำนวณ'!$BK12:$CD12,2)&gt;=999999,"",INDEX('ตารางเวร'!$A$10:$A$29,SMALL('คำนวณ'!$BK12:$CD12,2))&amp;IF(UPPER(SUBSTITUTE(INDEX('คำนวณ'!$C12:$V12,SMALL('คำนวณ'!$BK12:$CD12,2)),"*",""))="D","(D)","")))</f>
        <v/>
      </c>
      <c r="E13" s="24">
        <f>IF('คำนวณ'!$B12=0,"",IF(SMALL('คำนวณ'!$BK12:$CD12,3)&gt;=999999,"",INDEX('ตารางเวร'!$A$10:$A$29,SMALL('คำนวณ'!$BK12:$CD12,3))&amp;IF(UPPER(SUBSTITUTE(INDEX('คำนวณ'!$C12:$V12,SMALL('คำนวณ'!$BK12:$CD12,3)),"*",""))="D","(D)","")))</f>
        <v/>
      </c>
      <c r="F13" s="24">
        <f>IF('คำนวณ'!$B12=0,"",IF(SMALL('คำนวณ'!$BK12:$CD12,4)&gt;=999999,"",INDEX('ตารางเวร'!$A$10:$A$29,SMALL('คำนวณ'!$BK12:$CD12,4))&amp;IF(UPPER(SUBSTITUTE(INDEX('คำนวณ'!$C12:$V12,SMALL('คำนวณ'!$BK12:$CD12,4)),"*",""))="D","(D)","")))</f>
        <v/>
      </c>
      <c r="G13" s="24">
        <f>IF('คำนวณ'!$B12=0,"",IF(SMALL('คำนวณ'!$BK12:$CD12,5)&gt;=999999,"",INDEX('ตารางเวร'!$A$10:$A$29,SMALL('คำนวณ'!$BK12:$CD12,5))&amp;IF(UPPER(SUBSTITUTE(INDEX('คำนวณ'!$C12:$V12,SMALL('คำนวณ'!$BK12:$CD12,5)),"*",""))="D","(D)","")))</f>
        <v/>
      </c>
      <c r="H13" s="24">
        <f>IF('คำนวณ'!$B12=0,"",IF(SMALL('คำนวณ'!$BK12:$CD12,6)&gt;=999999,"",INDEX('ตารางเวร'!$A$10:$A$29,SMALL('คำนวณ'!$BK12:$CD12,6))&amp;IF(UPPER(SUBSTITUTE(INDEX('คำนวณ'!$C12:$V12,SMALL('คำนวณ'!$BK12:$CD12,6)),"*",""))="D","(D)","")))</f>
        <v/>
      </c>
      <c r="I13" s="24">
        <f>IF('คำนวณ'!$B12=0,"",IF(SMALL('คำนวณ'!$BK12:$CD12,7)&gt;=999999,"",INDEX('ตารางเวร'!$A$10:$A$29,SMALL('คำนวณ'!$BK12:$CD12,7))&amp;IF(UPPER(SUBSTITUTE(INDEX('คำนวณ'!$C12:$V12,SMALL('คำนวณ'!$BK12:$CD12,7)),"*",""))="D","(D)","")))</f>
        <v/>
      </c>
      <c r="J13" s="24">
        <f>IF('คำนวณ'!$B12=0,"",IF(SMALL('คำนวณ'!$BK12:$CD12,8)&gt;=999999,"",INDEX('ตารางเวร'!$A$10:$A$29,SMALL('คำนวณ'!$BK12:$CD12,8))&amp;IF(UPPER(SUBSTITUTE(INDEX('คำนวณ'!$C12:$V12,SMALL('คำนวณ'!$BK12:$CD12,8)),"*",""))="D","(D)","")))</f>
        <v/>
      </c>
      <c r="K13" s="25">
        <f>IF(OR('คำนวณ'!$B12=0,'คำนวณ'!$CE12=0),"",INDEX('ตารางเวร'!$A$10:$A$29,'คำนวณ'!$CE12)&amp;IF(AND(TRIM('ตารางเวร'!$B$5)&lt;&gt;"",UPPER(SUBSTITUTE(INDEX('คำนวณ'!$C12:$V12,'คำนวณ'!$CE12),"*",""))="D"),"(D)",""))</f>
        <v/>
      </c>
      <c r="L13" s="26">
        <f>IF('คำนวณ'!$B12=0,"",IF('คำนวณ'!$DB12=2,"",IF(SMALL('คำนวณ'!$CF12:$CY12,1)&gt;=999999999,"",INDEX('ตารางเวร'!$A$10:$A$29,MATCH(SMALL('คำนวณ'!$CF12:$CY12,1),'คำนวณ'!$CF12:$CY12,0))&amp;IF(AND(TRIM('ตารางเวร'!$B$5)&lt;&gt;"",UPPER(SUBSTITUTE(INDEX('คำนวณ'!$C12:$V12,MATCH(SMALL('คำนวณ'!$CF12:$CY12,1),'คำนวณ'!$CF12:$CY12,0)),"*",""))="D"),"(D)",""))))</f>
        <v/>
      </c>
      <c r="M13" s="27">
        <f>IF('คำนวณ'!$B12=0,"",IF('คำนวณ'!$DB12=2,IF(SMALL('คำนวณ'!$CF12:$CY12,1)&gt;=999999999,"",INDEX('ตารางเวร'!$A$10:$A$29,MATCH(SMALL('คำนวณ'!$CF12:$CY12,1),'คำนวณ'!$CF12:$CY12,0))&amp;IF(AND(TRIM('ตารางเวร'!$B$5)&lt;&gt;"",UPPER(SUBSTITUTE(INDEX('คำนวณ'!$C12:$V12,MATCH(SMALL('คำนวณ'!$CF12:$CY12,1),'คำนวณ'!$CF12:$CY12,0)),"*",""))="D"),"(D)","")),IF(SMALL('คำนวณ'!$CF12:$CY12,2)&gt;=999999999,"",INDEX('ตารางเวร'!$A$10:$A$29,MATCH(SMALL('คำนวณ'!$CF12:$CY12,2),'คำนวณ'!$CF12:$CY12,0))&amp;IF(AND(TRIM('ตารางเวร'!$B$5)&lt;&gt;"",UPPER(SUBSTITUTE(INDEX('คำนวณ'!$C12:$V12,MATCH(SMALL('คำนวณ'!$CF12:$CY12,2),'คำนวณ'!$CF12:$CY12,0)),"*",""))="D"),"(D)",""))))</f>
        <v/>
      </c>
      <c r="N13" s="28">
        <f>IF('คำนวณ'!$B12=0,"",IF('คำนวณ'!$DB12=2,IF(SMALL('คำนวณ'!$CF12:$CY12,2)&gt;=999999999,"",INDEX('ตารางเวร'!$A$10:$A$29,MATCH(SMALL('คำนวณ'!$CF12:$CY12,2),'คำนวณ'!$CF12:$CY12,0))&amp;IF(AND(TRIM('ตารางเวร'!$B$5)&lt;&gt;"",UPPER(SUBSTITUTE(INDEX('คำนวณ'!$C12:$V12,MATCH(SMALL('คำนวณ'!$CF12:$CY12,2),'คำนวณ'!$CF12:$CY12,0)),"*",""))="D"),"(D)","")),IF(SMALL('คำนวณ'!$CF12:$CY12,3)&gt;=999999999,"",INDEX('ตารางเวร'!$A$10:$A$29,MATCH(SMALL('คำนวณ'!$CF12:$CY12,3),'คำนวณ'!$CF12:$CY12,0))&amp;IF(AND(TRIM('ตารางเวร'!$B$5)&lt;&gt;"",UPPER(SUBSTITUTE(INDEX('คำนวณ'!$C12:$V12,MATCH(SMALL('คำนวณ'!$CF12:$CY12,3),'คำนวณ'!$CF12:$CY12,0)),"*",""))="D"),"(D)",""))))</f>
        <v/>
      </c>
      <c r="O13" s="29">
        <f>IF('คำนวณ'!$B12=0,"",TRIM(IF(SMALL('คำนวณ'!$CF12:$CY12,4)&gt;=999999999,"","  "&amp;INDEX('ตารางเวร'!$A$10:$A$29,MATCH(SMALL('คำนวณ'!$CF12:$CY12,4),'คำนวณ'!$CF12:$CY12,0))&amp;IF(AND(TRIM('ตารางเวร'!$B$5)&lt;&gt;"",UPPER(SUBSTITUTE(INDEX('คำนวณ'!$C12:$V12,MATCH(SMALL('คำนวณ'!$CF12:$CY12,4),'คำนวณ'!$CF12:$CY12,0)),"*",""))="D"),"(D)",""))&amp;IF(SMALL('คำนวณ'!$CF12:$CY12,5)&gt;=999999999,"","  "&amp;INDEX('ตารางเวร'!$A$10:$A$29,MATCH(SMALL('คำนวณ'!$CF12:$CY12,5),'คำนวณ'!$CF12:$CY12,0))&amp;IF(AND(TRIM('ตารางเวร'!$B$5)&lt;&gt;"",UPPER(SUBSTITUTE(INDEX('คำนวณ'!$C12:$V12,MATCH(SMALL('คำนวณ'!$CF12:$CY12,5),'คำนวณ'!$CF12:$CY12,0)),"*",""))="D"),"(D)",""))&amp;IF(SMALL('คำนวณ'!$CF12:$CY12,6)&gt;=999999999,"","  "&amp;INDEX('ตารางเวร'!$A$10:$A$29,MATCH(SMALL('คำนวณ'!$CF12:$CY12,6),'คำนวณ'!$CF12:$CY12,0))&amp;IF(AND(TRIM('ตารางเวร'!$B$5)&lt;&gt;"",UPPER(SUBSTITUTE(INDEX('คำนวณ'!$C12:$V12,MATCH(SMALL('คำนวณ'!$CF12:$CY12,6),'คำนวณ'!$CF12:$CY12,0)),"*",""))="D"),"(D)",""))&amp;IF(SMALL('คำนวณ'!$CF12:$CY12,7)&gt;=999999999,"","  "&amp;INDEX('ตารางเวร'!$A$10:$A$29,MATCH(SMALL('คำนวณ'!$CF12:$CY12,7),'คำนวณ'!$CF12:$CY12,0))&amp;IF(AND(TRIM('ตารางเวร'!$B$5)&lt;&gt;"",UPPER(SUBSTITUTE(INDEX('คำนวณ'!$C12:$V12,MATCH(SMALL('คำนวณ'!$CF12:$CY12,7),'คำนวณ'!$CF12:$CY12,0)),"*",""))="D"),"(D)",""))&amp;IF(SMALL('คำนวณ'!$BK12:$CD12,9)&gt;=999999,"","  "&amp;INDEX('ตารางเวร'!$A$10:$A$29,SMALL('คำนวณ'!$BK12:$CD12,9))&amp;IF(UPPER(SUBSTITUTE(INDEX('คำนวณ'!$C12:$V12,SMALL('คำนวณ'!$BK12:$CD12,9)),"*",""))="D","(D)",""))&amp;IF(SMALL('คำนวณ'!$BK12:$CD12,10)&gt;=999999,"","  "&amp;INDEX('ตารางเวร'!$A$10:$A$29,SMALL('คำนวณ'!$BK12:$CD12,10))&amp;IF(UPPER(SUBSTITUTE(INDEX('คำนวณ'!$C12:$V12,SMALL('คำนวณ'!$BK12:$CD12,10)),"*",""))="D","(D)",""))&amp;IF(SMALL('คำนวณ'!$BK12:$CD12,11)&gt;=999999,"","  "&amp;INDEX('ตารางเวร'!$A$10:$A$29,SMALL('คำนวณ'!$BK12:$CD12,11))&amp;IF(UPPER(SUBSTITUTE(INDEX('คำนวณ'!$C12:$V12,SMALL('คำนวณ'!$BK12:$CD12,11)),"*",""))="D","(D)",""))&amp;IF(SMALL('คำนวณ'!$BK12:$CD12,12)&gt;=999999,"","  "&amp;INDEX('ตารางเวร'!$A$10:$A$29,SMALL('คำนวณ'!$BK12:$CD12,12))&amp;IF(UPPER(SUBSTITUTE(INDEX('คำนวณ'!$C12:$V12,SMALL('คำนวณ'!$BK12:$CD12,12)),"*",""))="D","(D)",""))))</f>
        <v/>
      </c>
    </row>
    <row r="14">
      <c r="A14" s="15">
        <f>IF('คำนวณ'!$B13=0,"",'คำนวณ'!$A13)</f>
        <v/>
      </c>
      <c r="B14" s="15">
        <f>IF('คำนวณ'!$B13=0,"",'ตารางเวร'!M$9)</f>
        <v/>
      </c>
      <c r="C14" s="24">
        <f>IF('คำนวณ'!$B13=0,"",IF(SMALL('คำนวณ'!$BK13:$CD13,1)&gt;=999999,"",INDEX('ตารางเวร'!$A$10:$A$29,SMALL('คำนวณ'!$BK13:$CD13,1))&amp;IF(UPPER(SUBSTITUTE(INDEX('คำนวณ'!$C13:$V13,SMALL('คำนวณ'!$BK13:$CD13,1)),"*",""))="D","(D)","")))</f>
        <v/>
      </c>
      <c r="D14" s="24">
        <f>IF('คำนวณ'!$B13=0,"",IF(SMALL('คำนวณ'!$BK13:$CD13,2)&gt;=999999,"",INDEX('ตารางเวร'!$A$10:$A$29,SMALL('คำนวณ'!$BK13:$CD13,2))&amp;IF(UPPER(SUBSTITUTE(INDEX('คำนวณ'!$C13:$V13,SMALL('คำนวณ'!$BK13:$CD13,2)),"*",""))="D","(D)","")))</f>
        <v/>
      </c>
      <c r="E14" s="24">
        <f>IF('คำนวณ'!$B13=0,"",IF(SMALL('คำนวณ'!$BK13:$CD13,3)&gt;=999999,"",INDEX('ตารางเวร'!$A$10:$A$29,SMALL('คำนวณ'!$BK13:$CD13,3))&amp;IF(UPPER(SUBSTITUTE(INDEX('คำนวณ'!$C13:$V13,SMALL('คำนวณ'!$BK13:$CD13,3)),"*",""))="D","(D)","")))</f>
        <v/>
      </c>
      <c r="F14" s="24">
        <f>IF('คำนวณ'!$B13=0,"",IF(SMALL('คำนวณ'!$BK13:$CD13,4)&gt;=999999,"",INDEX('ตารางเวร'!$A$10:$A$29,SMALL('คำนวณ'!$BK13:$CD13,4))&amp;IF(UPPER(SUBSTITUTE(INDEX('คำนวณ'!$C13:$V13,SMALL('คำนวณ'!$BK13:$CD13,4)),"*",""))="D","(D)","")))</f>
        <v/>
      </c>
      <c r="G14" s="24">
        <f>IF('คำนวณ'!$B13=0,"",IF(SMALL('คำนวณ'!$BK13:$CD13,5)&gt;=999999,"",INDEX('ตารางเวร'!$A$10:$A$29,SMALL('คำนวณ'!$BK13:$CD13,5))&amp;IF(UPPER(SUBSTITUTE(INDEX('คำนวณ'!$C13:$V13,SMALL('คำนวณ'!$BK13:$CD13,5)),"*",""))="D","(D)","")))</f>
        <v/>
      </c>
      <c r="H14" s="24">
        <f>IF('คำนวณ'!$B13=0,"",IF(SMALL('คำนวณ'!$BK13:$CD13,6)&gt;=999999,"",INDEX('ตารางเวร'!$A$10:$A$29,SMALL('คำนวณ'!$BK13:$CD13,6))&amp;IF(UPPER(SUBSTITUTE(INDEX('คำนวณ'!$C13:$V13,SMALL('คำนวณ'!$BK13:$CD13,6)),"*",""))="D","(D)","")))</f>
        <v/>
      </c>
      <c r="I14" s="24">
        <f>IF('คำนวณ'!$B13=0,"",IF(SMALL('คำนวณ'!$BK13:$CD13,7)&gt;=999999,"",INDEX('ตารางเวร'!$A$10:$A$29,SMALL('คำนวณ'!$BK13:$CD13,7))&amp;IF(UPPER(SUBSTITUTE(INDEX('คำนวณ'!$C13:$V13,SMALL('คำนวณ'!$BK13:$CD13,7)),"*",""))="D","(D)","")))</f>
        <v/>
      </c>
      <c r="J14" s="24">
        <f>IF('คำนวณ'!$B13=0,"",IF(SMALL('คำนวณ'!$BK13:$CD13,8)&gt;=999999,"",INDEX('ตารางเวร'!$A$10:$A$29,SMALL('คำนวณ'!$BK13:$CD13,8))&amp;IF(UPPER(SUBSTITUTE(INDEX('คำนวณ'!$C13:$V13,SMALL('คำนวณ'!$BK13:$CD13,8)),"*",""))="D","(D)","")))</f>
        <v/>
      </c>
      <c r="K14" s="25">
        <f>IF(OR('คำนวณ'!$B13=0,'คำนวณ'!$CE13=0),"",INDEX('ตารางเวร'!$A$10:$A$29,'คำนวณ'!$CE13)&amp;IF(AND(TRIM('ตารางเวร'!$B$5)&lt;&gt;"",UPPER(SUBSTITUTE(INDEX('คำนวณ'!$C13:$V13,'คำนวณ'!$CE13),"*",""))="D"),"(D)",""))</f>
        <v/>
      </c>
      <c r="L14" s="26">
        <f>IF('คำนวณ'!$B13=0,"",IF('คำนวณ'!$DB13=2,"",IF(SMALL('คำนวณ'!$CF13:$CY13,1)&gt;=999999999,"",INDEX('ตารางเวร'!$A$10:$A$29,MATCH(SMALL('คำนวณ'!$CF13:$CY13,1),'คำนวณ'!$CF13:$CY13,0))&amp;IF(AND(TRIM('ตารางเวร'!$B$5)&lt;&gt;"",UPPER(SUBSTITUTE(INDEX('คำนวณ'!$C13:$V13,MATCH(SMALL('คำนวณ'!$CF13:$CY13,1),'คำนวณ'!$CF13:$CY13,0)),"*",""))="D"),"(D)",""))))</f>
        <v/>
      </c>
      <c r="M14" s="27">
        <f>IF('คำนวณ'!$B13=0,"",IF('คำนวณ'!$DB13=2,IF(SMALL('คำนวณ'!$CF13:$CY13,1)&gt;=999999999,"",INDEX('ตารางเวร'!$A$10:$A$29,MATCH(SMALL('คำนวณ'!$CF13:$CY13,1),'คำนวณ'!$CF13:$CY13,0))&amp;IF(AND(TRIM('ตารางเวร'!$B$5)&lt;&gt;"",UPPER(SUBSTITUTE(INDEX('คำนวณ'!$C13:$V13,MATCH(SMALL('คำนวณ'!$CF13:$CY13,1),'คำนวณ'!$CF13:$CY13,0)),"*",""))="D"),"(D)","")),IF(SMALL('คำนวณ'!$CF13:$CY13,2)&gt;=999999999,"",INDEX('ตารางเวร'!$A$10:$A$29,MATCH(SMALL('คำนวณ'!$CF13:$CY13,2),'คำนวณ'!$CF13:$CY13,0))&amp;IF(AND(TRIM('ตารางเวร'!$B$5)&lt;&gt;"",UPPER(SUBSTITUTE(INDEX('คำนวณ'!$C13:$V13,MATCH(SMALL('คำนวณ'!$CF13:$CY13,2),'คำนวณ'!$CF13:$CY13,0)),"*",""))="D"),"(D)",""))))</f>
        <v/>
      </c>
      <c r="N14" s="28">
        <f>IF('คำนวณ'!$B13=0,"",IF('คำนวณ'!$DB13=2,IF(SMALL('คำนวณ'!$CF13:$CY13,2)&gt;=999999999,"",INDEX('ตารางเวร'!$A$10:$A$29,MATCH(SMALL('คำนวณ'!$CF13:$CY13,2),'คำนวณ'!$CF13:$CY13,0))&amp;IF(AND(TRIM('ตารางเวร'!$B$5)&lt;&gt;"",UPPER(SUBSTITUTE(INDEX('คำนวณ'!$C13:$V13,MATCH(SMALL('คำนวณ'!$CF13:$CY13,2),'คำนวณ'!$CF13:$CY13,0)),"*",""))="D"),"(D)","")),IF(SMALL('คำนวณ'!$CF13:$CY13,3)&gt;=999999999,"",INDEX('ตารางเวร'!$A$10:$A$29,MATCH(SMALL('คำนวณ'!$CF13:$CY13,3),'คำนวณ'!$CF13:$CY13,0))&amp;IF(AND(TRIM('ตารางเวร'!$B$5)&lt;&gt;"",UPPER(SUBSTITUTE(INDEX('คำนวณ'!$C13:$V13,MATCH(SMALL('คำนวณ'!$CF13:$CY13,3),'คำนวณ'!$CF13:$CY13,0)),"*",""))="D"),"(D)",""))))</f>
        <v/>
      </c>
      <c r="O14" s="29">
        <f>IF('คำนวณ'!$B13=0,"",TRIM(IF(SMALL('คำนวณ'!$CF13:$CY13,4)&gt;=999999999,"","  "&amp;INDEX('ตารางเวร'!$A$10:$A$29,MATCH(SMALL('คำนวณ'!$CF13:$CY13,4),'คำนวณ'!$CF13:$CY13,0))&amp;IF(AND(TRIM('ตารางเวร'!$B$5)&lt;&gt;"",UPPER(SUBSTITUTE(INDEX('คำนวณ'!$C13:$V13,MATCH(SMALL('คำนวณ'!$CF13:$CY13,4),'คำนวณ'!$CF13:$CY13,0)),"*",""))="D"),"(D)",""))&amp;IF(SMALL('คำนวณ'!$CF13:$CY13,5)&gt;=999999999,"","  "&amp;INDEX('ตารางเวร'!$A$10:$A$29,MATCH(SMALL('คำนวณ'!$CF13:$CY13,5),'คำนวณ'!$CF13:$CY13,0))&amp;IF(AND(TRIM('ตารางเวร'!$B$5)&lt;&gt;"",UPPER(SUBSTITUTE(INDEX('คำนวณ'!$C13:$V13,MATCH(SMALL('คำนวณ'!$CF13:$CY13,5),'คำนวณ'!$CF13:$CY13,0)),"*",""))="D"),"(D)",""))&amp;IF(SMALL('คำนวณ'!$CF13:$CY13,6)&gt;=999999999,"","  "&amp;INDEX('ตารางเวร'!$A$10:$A$29,MATCH(SMALL('คำนวณ'!$CF13:$CY13,6),'คำนวณ'!$CF13:$CY13,0))&amp;IF(AND(TRIM('ตารางเวร'!$B$5)&lt;&gt;"",UPPER(SUBSTITUTE(INDEX('คำนวณ'!$C13:$V13,MATCH(SMALL('คำนวณ'!$CF13:$CY13,6),'คำนวณ'!$CF13:$CY13,0)),"*",""))="D"),"(D)",""))&amp;IF(SMALL('คำนวณ'!$CF13:$CY13,7)&gt;=999999999,"","  "&amp;INDEX('ตารางเวร'!$A$10:$A$29,MATCH(SMALL('คำนวณ'!$CF13:$CY13,7),'คำนวณ'!$CF13:$CY13,0))&amp;IF(AND(TRIM('ตารางเวร'!$B$5)&lt;&gt;"",UPPER(SUBSTITUTE(INDEX('คำนวณ'!$C13:$V13,MATCH(SMALL('คำนวณ'!$CF13:$CY13,7),'คำนวณ'!$CF13:$CY13,0)),"*",""))="D"),"(D)",""))&amp;IF(SMALL('คำนวณ'!$BK13:$CD13,9)&gt;=999999,"","  "&amp;INDEX('ตารางเวร'!$A$10:$A$29,SMALL('คำนวณ'!$BK13:$CD13,9))&amp;IF(UPPER(SUBSTITUTE(INDEX('คำนวณ'!$C13:$V13,SMALL('คำนวณ'!$BK13:$CD13,9)),"*",""))="D","(D)",""))&amp;IF(SMALL('คำนวณ'!$BK13:$CD13,10)&gt;=999999,"","  "&amp;INDEX('ตารางเวร'!$A$10:$A$29,SMALL('คำนวณ'!$BK13:$CD13,10))&amp;IF(UPPER(SUBSTITUTE(INDEX('คำนวณ'!$C13:$V13,SMALL('คำนวณ'!$BK13:$CD13,10)),"*",""))="D","(D)",""))&amp;IF(SMALL('คำนวณ'!$BK13:$CD13,11)&gt;=999999,"","  "&amp;INDEX('ตารางเวร'!$A$10:$A$29,SMALL('คำนวณ'!$BK13:$CD13,11))&amp;IF(UPPER(SUBSTITUTE(INDEX('คำนวณ'!$C13:$V13,SMALL('คำนวณ'!$BK13:$CD13,11)),"*",""))="D","(D)",""))&amp;IF(SMALL('คำนวณ'!$BK13:$CD13,12)&gt;=999999,"","  "&amp;INDEX('ตารางเวร'!$A$10:$A$29,SMALL('คำนวณ'!$BK13:$CD13,12))&amp;IF(UPPER(SUBSTITUTE(INDEX('คำนวณ'!$C13:$V13,SMALL('คำนวณ'!$BK13:$CD13,12)),"*",""))="D","(D)",""))))</f>
        <v/>
      </c>
    </row>
    <row r="15">
      <c r="A15" s="15">
        <f>IF('คำนวณ'!$B14=0,"",'คำนวณ'!$A14)</f>
        <v/>
      </c>
      <c r="B15" s="15">
        <f>IF('คำนวณ'!$B14=0,"",'ตารางเวร'!N$9)</f>
        <v/>
      </c>
      <c r="C15" s="24">
        <f>IF('คำนวณ'!$B14=0,"",IF(SMALL('คำนวณ'!$BK14:$CD14,1)&gt;=999999,"",INDEX('ตารางเวร'!$A$10:$A$29,SMALL('คำนวณ'!$BK14:$CD14,1))&amp;IF(UPPER(SUBSTITUTE(INDEX('คำนวณ'!$C14:$V14,SMALL('คำนวณ'!$BK14:$CD14,1)),"*",""))="D","(D)","")))</f>
        <v/>
      </c>
      <c r="D15" s="24">
        <f>IF('คำนวณ'!$B14=0,"",IF(SMALL('คำนวณ'!$BK14:$CD14,2)&gt;=999999,"",INDEX('ตารางเวร'!$A$10:$A$29,SMALL('คำนวณ'!$BK14:$CD14,2))&amp;IF(UPPER(SUBSTITUTE(INDEX('คำนวณ'!$C14:$V14,SMALL('คำนวณ'!$BK14:$CD14,2)),"*",""))="D","(D)","")))</f>
        <v/>
      </c>
      <c r="E15" s="24">
        <f>IF('คำนวณ'!$B14=0,"",IF(SMALL('คำนวณ'!$BK14:$CD14,3)&gt;=999999,"",INDEX('ตารางเวร'!$A$10:$A$29,SMALL('คำนวณ'!$BK14:$CD14,3))&amp;IF(UPPER(SUBSTITUTE(INDEX('คำนวณ'!$C14:$V14,SMALL('คำนวณ'!$BK14:$CD14,3)),"*",""))="D","(D)","")))</f>
        <v/>
      </c>
      <c r="F15" s="24">
        <f>IF('คำนวณ'!$B14=0,"",IF(SMALL('คำนวณ'!$BK14:$CD14,4)&gt;=999999,"",INDEX('ตารางเวร'!$A$10:$A$29,SMALL('คำนวณ'!$BK14:$CD14,4))&amp;IF(UPPER(SUBSTITUTE(INDEX('คำนวณ'!$C14:$V14,SMALL('คำนวณ'!$BK14:$CD14,4)),"*",""))="D","(D)","")))</f>
        <v/>
      </c>
      <c r="G15" s="24">
        <f>IF('คำนวณ'!$B14=0,"",IF(SMALL('คำนวณ'!$BK14:$CD14,5)&gt;=999999,"",INDEX('ตารางเวร'!$A$10:$A$29,SMALL('คำนวณ'!$BK14:$CD14,5))&amp;IF(UPPER(SUBSTITUTE(INDEX('คำนวณ'!$C14:$V14,SMALL('คำนวณ'!$BK14:$CD14,5)),"*",""))="D","(D)","")))</f>
        <v/>
      </c>
      <c r="H15" s="24">
        <f>IF('คำนวณ'!$B14=0,"",IF(SMALL('คำนวณ'!$BK14:$CD14,6)&gt;=999999,"",INDEX('ตารางเวร'!$A$10:$A$29,SMALL('คำนวณ'!$BK14:$CD14,6))&amp;IF(UPPER(SUBSTITUTE(INDEX('คำนวณ'!$C14:$V14,SMALL('คำนวณ'!$BK14:$CD14,6)),"*",""))="D","(D)","")))</f>
        <v/>
      </c>
      <c r="I15" s="24">
        <f>IF('คำนวณ'!$B14=0,"",IF(SMALL('คำนวณ'!$BK14:$CD14,7)&gt;=999999,"",INDEX('ตารางเวร'!$A$10:$A$29,SMALL('คำนวณ'!$BK14:$CD14,7))&amp;IF(UPPER(SUBSTITUTE(INDEX('คำนวณ'!$C14:$V14,SMALL('คำนวณ'!$BK14:$CD14,7)),"*",""))="D","(D)","")))</f>
        <v/>
      </c>
      <c r="J15" s="24">
        <f>IF('คำนวณ'!$B14=0,"",IF(SMALL('คำนวณ'!$BK14:$CD14,8)&gt;=999999,"",INDEX('ตารางเวร'!$A$10:$A$29,SMALL('คำนวณ'!$BK14:$CD14,8))&amp;IF(UPPER(SUBSTITUTE(INDEX('คำนวณ'!$C14:$V14,SMALL('คำนวณ'!$BK14:$CD14,8)),"*",""))="D","(D)","")))</f>
        <v/>
      </c>
      <c r="K15" s="25">
        <f>IF(OR('คำนวณ'!$B14=0,'คำนวณ'!$CE14=0),"",INDEX('ตารางเวร'!$A$10:$A$29,'คำนวณ'!$CE14)&amp;IF(AND(TRIM('ตารางเวร'!$B$5)&lt;&gt;"",UPPER(SUBSTITUTE(INDEX('คำนวณ'!$C14:$V14,'คำนวณ'!$CE14),"*",""))="D"),"(D)",""))</f>
        <v/>
      </c>
      <c r="L15" s="26">
        <f>IF('คำนวณ'!$B14=0,"",IF('คำนวณ'!$DB14=2,"",IF(SMALL('คำนวณ'!$CF14:$CY14,1)&gt;=999999999,"",INDEX('ตารางเวร'!$A$10:$A$29,MATCH(SMALL('คำนวณ'!$CF14:$CY14,1),'คำนวณ'!$CF14:$CY14,0))&amp;IF(AND(TRIM('ตารางเวร'!$B$5)&lt;&gt;"",UPPER(SUBSTITUTE(INDEX('คำนวณ'!$C14:$V14,MATCH(SMALL('คำนวณ'!$CF14:$CY14,1),'คำนวณ'!$CF14:$CY14,0)),"*",""))="D"),"(D)",""))))</f>
        <v/>
      </c>
      <c r="M15" s="27">
        <f>IF('คำนวณ'!$B14=0,"",IF('คำนวณ'!$DB14=2,IF(SMALL('คำนวณ'!$CF14:$CY14,1)&gt;=999999999,"",INDEX('ตารางเวร'!$A$10:$A$29,MATCH(SMALL('คำนวณ'!$CF14:$CY14,1),'คำนวณ'!$CF14:$CY14,0))&amp;IF(AND(TRIM('ตารางเวร'!$B$5)&lt;&gt;"",UPPER(SUBSTITUTE(INDEX('คำนวณ'!$C14:$V14,MATCH(SMALL('คำนวณ'!$CF14:$CY14,1),'คำนวณ'!$CF14:$CY14,0)),"*",""))="D"),"(D)","")),IF(SMALL('คำนวณ'!$CF14:$CY14,2)&gt;=999999999,"",INDEX('ตารางเวร'!$A$10:$A$29,MATCH(SMALL('คำนวณ'!$CF14:$CY14,2),'คำนวณ'!$CF14:$CY14,0))&amp;IF(AND(TRIM('ตารางเวร'!$B$5)&lt;&gt;"",UPPER(SUBSTITUTE(INDEX('คำนวณ'!$C14:$V14,MATCH(SMALL('คำนวณ'!$CF14:$CY14,2),'คำนวณ'!$CF14:$CY14,0)),"*",""))="D"),"(D)",""))))</f>
        <v/>
      </c>
      <c r="N15" s="28">
        <f>IF('คำนวณ'!$B14=0,"",IF('คำนวณ'!$DB14=2,IF(SMALL('คำนวณ'!$CF14:$CY14,2)&gt;=999999999,"",INDEX('ตารางเวร'!$A$10:$A$29,MATCH(SMALL('คำนวณ'!$CF14:$CY14,2),'คำนวณ'!$CF14:$CY14,0))&amp;IF(AND(TRIM('ตารางเวร'!$B$5)&lt;&gt;"",UPPER(SUBSTITUTE(INDEX('คำนวณ'!$C14:$V14,MATCH(SMALL('คำนวณ'!$CF14:$CY14,2),'คำนวณ'!$CF14:$CY14,0)),"*",""))="D"),"(D)","")),IF(SMALL('คำนวณ'!$CF14:$CY14,3)&gt;=999999999,"",INDEX('ตารางเวร'!$A$10:$A$29,MATCH(SMALL('คำนวณ'!$CF14:$CY14,3),'คำนวณ'!$CF14:$CY14,0))&amp;IF(AND(TRIM('ตารางเวร'!$B$5)&lt;&gt;"",UPPER(SUBSTITUTE(INDEX('คำนวณ'!$C14:$V14,MATCH(SMALL('คำนวณ'!$CF14:$CY14,3),'คำนวณ'!$CF14:$CY14,0)),"*",""))="D"),"(D)",""))))</f>
        <v/>
      </c>
      <c r="O15" s="29">
        <f>IF('คำนวณ'!$B14=0,"",TRIM(IF(SMALL('คำนวณ'!$CF14:$CY14,4)&gt;=999999999,"","  "&amp;INDEX('ตารางเวร'!$A$10:$A$29,MATCH(SMALL('คำนวณ'!$CF14:$CY14,4),'คำนวณ'!$CF14:$CY14,0))&amp;IF(AND(TRIM('ตารางเวร'!$B$5)&lt;&gt;"",UPPER(SUBSTITUTE(INDEX('คำนวณ'!$C14:$V14,MATCH(SMALL('คำนวณ'!$CF14:$CY14,4),'คำนวณ'!$CF14:$CY14,0)),"*",""))="D"),"(D)",""))&amp;IF(SMALL('คำนวณ'!$CF14:$CY14,5)&gt;=999999999,"","  "&amp;INDEX('ตารางเวร'!$A$10:$A$29,MATCH(SMALL('คำนวณ'!$CF14:$CY14,5),'คำนวณ'!$CF14:$CY14,0))&amp;IF(AND(TRIM('ตารางเวร'!$B$5)&lt;&gt;"",UPPER(SUBSTITUTE(INDEX('คำนวณ'!$C14:$V14,MATCH(SMALL('คำนวณ'!$CF14:$CY14,5),'คำนวณ'!$CF14:$CY14,0)),"*",""))="D"),"(D)",""))&amp;IF(SMALL('คำนวณ'!$CF14:$CY14,6)&gt;=999999999,"","  "&amp;INDEX('ตารางเวร'!$A$10:$A$29,MATCH(SMALL('คำนวณ'!$CF14:$CY14,6),'คำนวณ'!$CF14:$CY14,0))&amp;IF(AND(TRIM('ตารางเวร'!$B$5)&lt;&gt;"",UPPER(SUBSTITUTE(INDEX('คำนวณ'!$C14:$V14,MATCH(SMALL('คำนวณ'!$CF14:$CY14,6),'คำนวณ'!$CF14:$CY14,0)),"*",""))="D"),"(D)",""))&amp;IF(SMALL('คำนวณ'!$CF14:$CY14,7)&gt;=999999999,"","  "&amp;INDEX('ตารางเวร'!$A$10:$A$29,MATCH(SMALL('คำนวณ'!$CF14:$CY14,7),'คำนวณ'!$CF14:$CY14,0))&amp;IF(AND(TRIM('ตารางเวร'!$B$5)&lt;&gt;"",UPPER(SUBSTITUTE(INDEX('คำนวณ'!$C14:$V14,MATCH(SMALL('คำนวณ'!$CF14:$CY14,7),'คำนวณ'!$CF14:$CY14,0)),"*",""))="D"),"(D)",""))&amp;IF(SMALL('คำนวณ'!$BK14:$CD14,9)&gt;=999999,"","  "&amp;INDEX('ตารางเวร'!$A$10:$A$29,SMALL('คำนวณ'!$BK14:$CD14,9))&amp;IF(UPPER(SUBSTITUTE(INDEX('คำนวณ'!$C14:$V14,SMALL('คำนวณ'!$BK14:$CD14,9)),"*",""))="D","(D)",""))&amp;IF(SMALL('คำนวณ'!$BK14:$CD14,10)&gt;=999999,"","  "&amp;INDEX('ตารางเวร'!$A$10:$A$29,SMALL('คำนวณ'!$BK14:$CD14,10))&amp;IF(UPPER(SUBSTITUTE(INDEX('คำนวณ'!$C14:$V14,SMALL('คำนวณ'!$BK14:$CD14,10)),"*",""))="D","(D)",""))&amp;IF(SMALL('คำนวณ'!$BK14:$CD14,11)&gt;=999999,"","  "&amp;INDEX('ตารางเวร'!$A$10:$A$29,SMALL('คำนวณ'!$BK14:$CD14,11))&amp;IF(UPPER(SUBSTITUTE(INDEX('คำนวณ'!$C14:$V14,SMALL('คำนวณ'!$BK14:$CD14,11)),"*",""))="D","(D)",""))&amp;IF(SMALL('คำนวณ'!$BK14:$CD14,12)&gt;=999999,"","  "&amp;INDEX('ตารางเวร'!$A$10:$A$29,SMALL('คำนวณ'!$BK14:$CD14,12))&amp;IF(UPPER(SUBSTITUTE(INDEX('คำนวณ'!$C14:$V14,SMALL('คำนวณ'!$BK14:$CD14,12)),"*",""))="D","(D)",""))))</f>
        <v/>
      </c>
    </row>
    <row r="16">
      <c r="A16" s="15">
        <f>IF('คำนวณ'!$B15=0,"",'คำนวณ'!$A15)</f>
        <v/>
      </c>
      <c r="B16" s="15">
        <f>IF('คำนวณ'!$B15=0,"",'ตารางเวร'!O$9)</f>
        <v/>
      </c>
      <c r="C16" s="24">
        <f>IF('คำนวณ'!$B15=0,"",IF(SMALL('คำนวณ'!$BK15:$CD15,1)&gt;=999999,"",INDEX('ตารางเวร'!$A$10:$A$29,SMALL('คำนวณ'!$BK15:$CD15,1))&amp;IF(UPPER(SUBSTITUTE(INDEX('คำนวณ'!$C15:$V15,SMALL('คำนวณ'!$BK15:$CD15,1)),"*",""))="D","(D)","")))</f>
        <v/>
      </c>
      <c r="D16" s="24">
        <f>IF('คำนวณ'!$B15=0,"",IF(SMALL('คำนวณ'!$BK15:$CD15,2)&gt;=999999,"",INDEX('ตารางเวร'!$A$10:$A$29,SMALL('คำนวณ'!$BK15:$CD15,2))&amp;IF(UPPER(SUBSTITUTE(INDEX('คำนวณ'!$C15:$V15,SMALL('คำนวณ'!$BK15:$CD15,2)),"*",""))="D","(D)","")))</f>
        <v/>
      </c>
      <c r="E16" s="24">
        <f>IF('คำนวณ'!$B15=0,"",IF(SMALL('คำนวณ'!$BK15:$CD15,3)&gt;=999999,"",INDEX('ตารางเวร'!$A$10:$A$29,SMALL('คำนวณ'!$BK15:$CD15,3))&amp;IF(UPPER(SUBSTITUTE(INDEX('คำนวณ'!$C15:$V15,SMALL('คำนวณ'!$BK15:$CD15,3)),"*",""))="D","(D)","")))</f>
        <v/>
      </c>
      <c r="F16" s="24">
        <f>IF('คำนวณ'!$B15=0,"",IF(SMALL('คำนวณ'!$BK15:$CD15,4)&gt;=999999,"",INDEX('ตารางเวร'!$A$10:$A$29,SMALL('คำนวณ'!$BK15:$CD15,4))&amp;IF(UPPER(SUBSTITUTE(INDEX('คำนวณ'!$C15:$V15,SMALL('คำนวณ'!$BK15:$CD15,4)),"*",""))="D","(D)","")))</f>
        <v/>
      </c>
      <c r="G16" s="24">
        <f>IF('คำนวณ'!$B15=0,"",IF(SMALL('คำนวณ'!$BK15:$CD15,5)&gt;=999999,"",INDEX('ตารางเวร'!$A$10:$A$29,SMALL('คำนวณ'!$BK15:$CD15,5))&amp;IF(UPPER(SUBSTITUTE(INDEX('คำนวณ'!$C15:$V15,SMALL('คำนวณ'!$BK15:$CD15,5)),"*",""))="D","(D)","")))</f>
        <v/>
      </c>
      <c r="H16" s="24">
        <f>IF('คำนวณ'!$B15=0,"",IF(SMALL('คำนวณ'!$BK15:$CD15,6)&gt;=999999,"",INDEX('ตารางเวร'!$A$10:$A$29,SMALL('คำนวณ'!$BK15:$CD15,6))&amp;IF(UPPER(SUBSTITUTE(INDEX('คำนวณ'!$C15:$V15,SMALL('คำนวณ'!$BK15:$CD15,6)),"*",""))="D","(D)","")))</f>
        <v/>
      </c>
      <c r="I16" s="24">
        <f>IF('คำนวณ'!$B15=0,"",IF(SMALL('คำนวณ'!$BK15:$CD15,7)&gt;=999999,"",INDEX('ตารางเวร'!$A$10:$A$29,SMALL('คำนวณ'!$BK15:$CD15,7))&amp;IF(UPPER(SUBSTITUTE(INDEX('คำนวณ'!$C15:$V15,SMALL('คำนวณ'!$BK15:$CD15,7)),"*",""))="D","(D)","")))</f>
        <v/>
      </c>
      <c r="J16" s="24">
        <f>IF('คำนวณ'!$B15=0,"",IF(SMALL('คำนวณ'!$BK15:$CD15,8)&gt;=999999,"",INDEX('ตารางเวร'!$A$10:$A$29,SMALL('คำนวณ'!$BK15:$CD15,8))&amp;IF(UPPER(SUBSTITUTE(INDEX('คำนวณ'!$C15:$V15,SMALL('คำนวณ'!$BK15:$CD15,8)),"*",""))="D","(D)","")))</f>
        <v/>
      </c>
      <c r="K16" s="25">
        <f>IF(OR('คำนวณ'!$B15=0,'คำนวณ'!$CE15=0),"",INDEX('ตารางเวร'!$A$10:$A$29,'คำนวณ'!$CE15)&amp;IF(AND(TRIM('ตารางเวร'!$B$5)&lt;&gt;"",UPPER(SUBSTITUTE(INDEX('คำนวณ'!$C15:$V15,'คำนวณ'!$CE15),"*",""))="D"),"(D)",""))</f>
        <v/>
      </c>
      <c r="L16" s="26">
        <f>IF('คำนวณ'!$B15=0,"",IF('คำนวณ'!$DB15=2,"",IF(SMALL('คำนวณ'!$CF15:$CY15,1)&gt;=999999999,"",INDEX('ตารางเวร'!$A$10:$A$29,MATCH(SMALL('คำนวณ'!$CF15:$CY15,1),'คำนวณ'!$CF15:$CY15,0))&amp;IF(AND(TRIM('ตารางเวร'!$B$5)&lt;&gt;"",UPPER(SUBSTITUTE(INDEX('คำนวณ'!$C15:$V15,MATCH(SMALL('คำนวณ'!$CF15:$CY15,1),'คำนวณ'!$CF15:$CY15,0)),"*",""))="D"),"(D)",""))))</f>
        <v/>
      </c>
      <c r="M16" s="27">
        <f>IF('คำนวณ'!$B15=0,"",IF('คำนวณ'!$DB15=2,IF(SMALL('คำนวณ'!$CF15:$CY15,1)&gt;=999999999,"",INDEX('ตารางเวร'!$A$10:$A$29,MATCH(SMALL('คำนวณ'!$CF15:$CY15,1),'คำนวณ'!$CF15:$CY15,0))&amp;IF(AND(TRIM('ตารางเวร'!$B$5)&lt;&gt;"",UPPER(SUBSTITUTE(INDEX('คำนวณ'!$C15:$V15,MATCH(SMALL('คำนวณ'!$CF15:$CY15,1),'คำนวณ'!$CF15:$CY15,0)),"*",""))="D"),"(D)","")),IF(SMALL('คำนวณ'!$CF15:$CY15,2)&gt;=999999999,"",INDEX('ตารางเวร'!$A$10:$A$29,MATCH(SMALL('คำนวณ'!$CF15:$CY15,2),'คำนวณ'!$CF15:$CY15,0))&amp;IF(AND(TRIM('ตารางเวร'!$B$5)&lt;&gt;"",UPPER(SUBSTITUTE(INDEX('คำนวณ'!$C15:$V15,MATCH(SMALL('คำนวณ'!$CF15:$CY15,2),'คำนวณ'!$CF15:$CY15,0)),"*",""))="D"),"(D)",""))))</f>
        <v/>
      </c>
      <c r="N16" s="28">
        <f>IF('คำนวณ'!$B15=0,"",IF('คำนวณ'!$DB15=2,IF(SMALL('คำนวณ'!$CF15:$CY15,2)&gt;=999999999,"",INDEX('ตารางเวร'!$A$10:$A$29,MATCH(SMALL('คำนวณ'!$CF15:$CY15,2),'คำนวณ'!$CF15:$CY15,0))&amp;IF(AND(TRIM('ตารางเวร'!$B$5)&lt;&gt;"",UPPER(SUBSTITUTE(INDEX('คำนวณ'!$C15:$V15,MATCH(SMALL('คำนวณ'!$CF15:$CY15,2),'คำนวณ'!$CF15:$CY15,0)),"*",""))="D"),"(D)","")),IF(SMALL('คำนวณ'!$CF15:$CY15,3)&gt;=999999999,"",INDEX('ตารางเวร'!$A$10:$A$29,MATCH(SMALL('คำนวณ'!$CF15:$CY15,3),'คำนวณ'!$CF15:$CY15,0))&amp;IF(AND(TRIM('ตารางเวร'!$B$5)&lt;&gt;"",UPPER(SUBSTITUTE(INDEX('คำนวณ'!$C15:$V15,MATCH(SMALL('คำนวณ'!$CF15:$CY15,3),'คำนวณ'!$CF15:$CY15,0)),"*",""))="D"),"(D)",""))))</f>
        <v/>
      </c>
      <c r="O16" s="29">
        <f>IF('คำนวณ'!$B15=0,"",TRIM(IF(SMALL('คำนวณ'!$CF15:$CY15,4)&gt;=999999999,"","  "&amp;INDEX('ตารางเวร'!$A$10:$A$29,MATCH(SMALL('คำนวณ'!$CF15:$CY15,4),'คำนวณ'!$CF15:$CY15,0))&amp;IF(AND(TRIM('ตารางเวร'!$B$5)&lt;&gt;"",UPPER(SUBSTITUTE(INDEX('คำนวณ'!$C15:$V15,MATCH(SMALL('คำนวณ'!$CF15:$CY15,4),'คำนวณ'!$CF15:$CY15,0)),"*",""))="D"),"(D)",""))&amp;IF(SMALL('คำนวณ'!$CF15:$CY15,5)&gt;=999999999,"","  "&amp;INDEX('ตารางเวร'!$A$10:$A$29,MATCH(SMALL('คำนวณ'!$CF15:$CY15,5),'คำนวณ'!$CF15:$CY15,0))&amp;IF(AND(TRIM('ตารางเวร'!$B$5)&lt;&gt;"",UPPER(SUBSTITUTE(INDEX('คำนวณ'!$C15:$V15,MATCH(SMALL('คำนวณ'!$CF15:$CY15,5),'คำนวณ'!$CF15:$CY15,0)),"*",""))="D"),"(D)",""))&amp;IF(SMALL('คำนวณ'!$CF15:$CY15,6)&gt;=999999999,"","  "&amp;INDEX('ตารางเวร'!$A$10:$A$29,MATCH(SMALL('คำนวณ'!$CF15:$CY15,6),'คำนวณ'!$CF15:$CY15,0))&amp;IF(AND(TRIM('ตารางเวร'!$B$5)&lt;&gt;"",UPPER(SUBSTITUTE(INDEX('คำนวณ'!$C15:$V15,MATCH(SMALL('คำนวณ'!$CF15:$CY15,6),'คำนวณ'!$CF15:$CY15,0)),"*",""))="D"),"(D)",""))&amp;IF(SMALL('คำนวณ'!$CF15:$CY15,7)&gt;=999999999,"","  "&amp;INDEX('ตารางเวร'!$A$10:$A$29,MATCH(SMALL('คำนวณ'!$CF15:$CY15,7),'คำนวณ'!$CF15:$CY15,0))&amp;IF(AND(TRIM('ตารางเวร'!$B$5)&lt;&gt;"",UPPER(SUBSTITUTE(INDEX('คำนวณ'!$C15:$V15,MATCH(SMALL('คำนวณ'!$CF15:$CY15,7),'คำนวณ'!$CF15:$CY15,0)),"*",""))="D"),"(D)",""))&amp;IF(SMALL('คำนวณ'!$BK15:$CD15,9)&gt;=999999,"","  "&amp;INDEX('ตารางเวร'!$A$10:$A$29,SMALL('คำนวณ'!$BK15:$CD15,9))&amp;IF(UPPER(SUBSTITUTE(INDEX('คำนวณ'!$C15:$V15,SMALL('คำนวณ'!$BK15:$CD15,9)),"*",""))="D","(D)",""))&amp;IF(SMALL('คำนวณ'!$BK15:$CD15,10)&gt;=999999,"","  "&amp;INDEX('ตารางเวร'!$A$10:$A$29,SMALL('คำนวณ'!$BK15:$CD15,10))&amp;IF(UPPER(SUBSTITUTE(INDEX('คำนวณ'!$C15:$V15,SMALL('คำนวณ'!$BK15:$CD15,10)),"*",""))="D","(D)",""))&amp;IF(SMALL('คำนวณ'!$BK15:$CD15,11)&gt;=999999,"","  "&amp;INDEX('ตารางเวร'!$A$10:$A$29,SMALL('คำนวณ'!$BK15:$CD15,11))&amp;IF(UPPER(SUBSTITUTE(INDEX('คำนวณ'!$C15:$V15,SMALL('คำนวณ'!$BK15:$CD15,11)),"*",""))="D","(D)",""))&amp;IF(SMALL('คำนวณ'!$BK15:$CD15,12)&gt;=999999,"","  "&amp;INDEX('ตารางเวร'!$A$10:$A$29,SMALL('คำนวณ'!$BK15:$CD15,12))&amp;IF(UPPER(SUBSTITUTE(INDEX('คำนวณ'!$C15:$V15,SMALL('คำนวณ'!$BK15:$CD15,12)),"*",""))="D","(D)",""))))</f>
        <v/>
      </c>
    </row>
    <row r="17">
      <c r="A17" s="15">
        <f>IF('คำนวณ'!$B16=0,"",'คำนวณ'!$A16)</f>
        <v/>
      </c>
      <c r="B17" s="15">
        <f>IF('คำนวณ'!$B16=0,"",'ตารางเวร'!P$9)</f>
        <v/>
      </c>
      <c r="C17" s="24">
        <f>IF('คำนวณ'!$B16=0,"",IF(SMALL('คำนวณ'!$BK16:$CD16,1)&gt;=999999,"",INDEX('ตารางเวร'!$A$10:$A$29,SMALL('คำนวณ'!$BK16:$CD16,1))&amp;IF(UPPER(SUBSTITUTE(INDEX('คำนวณ'!$C16:$V16,SMALL('คำนวณ'!$BK16:$CD16,1)),"*",""))="D","(D)","")))</f>
        <v/>
      </c>
      <c r="D17" s="24">
        <f>IF('คำนวณ'!$B16=0,"",IF(SMALL('คำนวณ'!$BK16:$CD16,2)&gt;=999999,"",INDEX('ตารางเวร'!$A$10:$A$29,SMALL('คำนวณ'!$BK16:$CD16,2))&amp;IF(UPPER(SUBSTITUTE(INDEX('คำนวณ'!$C16:$V16,SMALL('คำนวณ'!$BK16:$CD16,2)),"*",""))="D","(D)","")))</f>
        <v/>
      </c>
      <c r="E17" s="24">
        <f>IF('คำนวณ'!$B16=0,"",IF(SMALL('คำนวณ'!$BK16:$CD16,3)&gt;=999999,"",INDEX('ตารางเวร'!$A$10:$A$29,SMALL('คำนวณ'!$BK16:$CD16,3))&amp;IF(UPPER(SUBSTITUTE(INDEX('คำนวณ'!$C16:$V16,SMALL('คำนวณ'!$BK16:$CD16,3)),"*",""))="D","(D)","")))</f>
        <v/>
      </c>
      <c r="F17" s="24">
        <f>IF('คำนวณ'!$B16=0,"",IF(SMALL('คำนวณ'!$BK16:$CD16,4)&gt;=999999,"",INDEX('ตารางเวร'!$A$10:$A$29,SMALL('คำนวณ'!$BK16:$CD16,4))&amp;IF(UPPER(SUBSTITUTE(INDEX('คำนวณ'!$C16:$V16,SMALL('คำนวณ'!$BK16:$CD16,4)),"*",""))="D","(D)","")))</f>
        <v/>
      </c>
      <c r="G17" s="24">
        <f>IF('คำนวณ'!$B16=0,"",IF(SMALL('คำนวณ'!$BK16:$CD16,5)&gt;=999999,"",INDEX('ตารางเวร'!$A$10:$A$29,SMALL('คำนวณ'!$BK16:$CD16,5))&amp;IF(UPPER(SUBSTITUTE(INDEX('คำนวณ'!$C16:$V16,SMALL('คำนวณ'!$BK16:$CD16,5)),"*",""))="D","(D)","")))</f>
        <v/>
      </c>
      <c r="H17" s="24">
        <f>IF('คำนวณ'!$B16=0,"",IF(SMALL('คำนวณ'!$BK16:$CD16,6)&gt;=999999,"",INDEX('ตารางเวร'!$A$10:$A$29,SMALL('คำนวณ'!$BK16:$CD16,6))&amp;IF(UPPER(SUBSTITUTE(INDEX('คำนวณ'!$C16:$V16,SMALL('คำนวณ'!$BK16:$CD16,6)),"*",""))="D","(D)","")))</f>
        <v/>
      </c>
      <c r="I17" s="24">
        <f>IF('คำนวณ'!$B16=0,"",IF(SMALL('คำนวณ'!$BK16:$CD16,7)&gt;=999999,"",INDEX('ตารางเวร'!$A$10:$A$29,SMALL('คำนวณ'!$BK16:$CD16,7))&amp;IF(UPPER(SUBSTITUTE(INDEX('คำนวณ'!$C16:$V16,SMALL('คำนวณ'!$BK16:$CD16,7)),"*",""))="D","(D)","")))</f>
        <v/>
      </c>
      <c r="J17" s="24">
        <f>IF('คำนวณ'!$B16=0,"",IF(SMALL('คำนวณ'!$BK16:$CD16,8)&gt;=999999,"",INDEX('ตารางเวร'!$A$10:$A$29,SMALL('คำนวณ'!$BK16:$CD16,8))&amp;IF(UPPER(SUBSTITUTE(INDEX('คำนวณ'!$C16:$V16,SMALL('คำนวณ'!$BK16:$CD16,8)),"*",""))="D","(D)","")))</f>
        <v/>
      </c>
      <c r="K17" s="25">
        <f>IF(OR('คำนวณ'!$B16=0,'คำนวณ'!$CE16=0),"",INDEX('ตารางเวร'!$A$10:$A$29,'คำนวณ'!$CE16)&amp;IF(AND(TRIM('ตารางเวร'!$B$5)&lt;&gt;"",UPPER(SUBSTITUTE(INDEX('คำนวณ'!$C16:$V16,'คำนวณ'!$CE16),"*",""))="D"),"(D)",""))</f>
        <v/>
      </c>
      <c r="L17" s="26">
        <f>IF('คำนวณ'!$B16=0,"",IF('คำนวณ'!$DB16=2,"",IF(SMALL('คำนวณ'!$CF16:$CY16,1)&gt;=999999999,"",INDEX('ตารางเวร'!$A$10:$A$29,MATCH(SMALL('คำนวณ'!$CF16:$CY16,1),'คำนวณ'!$CF16:$CY16,0))&amp;IF(AND(TRIM('ตารางเวร'!$B$5)&lt;&gt;"",UPPER(SUBSTITUTE(INDEX('คำนวณ'!$C16:$V16,MATCH(SMALL('คำนวณ'!$CF16:$CY16,1),'คำนวณ'!$CF16:$CY16,0)),"*",""))="D"),"(D)",""))))</f>
        <v/>
      </c>
      <c r="M17" s="27">
        <f>IF('คำนวณ'!$B16=0,"",IF('คำนวณ'!$DB16=2,IF(SMALL('คำนวณ'!$CF16:$CY16,1)&gt;=999999999,"",INDEX('ตารางเวร'!$A$10:$A$29,MATCH(SMALL('คำนวณ'!$CF16:$CY16,1),'คำนวณ'!$CF16:$CY16,0))&amp;IF(AND(TRIM('ตารางเวร'!$B$5)&lt;&gt;"",UPPER(SUBSTITUTE(INDEX('คำนวณ'!$C16:$V16,MATCH(SMALL('คำนวณ'!$CF16:$CY16,1),'คำนวณ'!$CF16:$CY16,0)),"*",""))="D"),"(D)","")),IF(SMALL('คำนวณ'!$CF16:$CY16,2)&gt;=999999999,"",INDEX('ตารางเวร'!$A$10:$A$29,MATCH(SMALL('คำนวณ'!$CF16:$CY16,2),'คำนวณ'!$CF16:$CY16,0))&amp;IF(AND(TRIM('ตารางเวร'!$B$5)&lt;&gt;"",UPPER(SUBSTITUTE(INDEX('คำนวณ'!$C16:$V16,MATCH(SMALL('คำนวณ'!$CF16:$CY16,2),'คำนวณ'!$CF16:$CY16,0)),"*",""))="D"),"(D)",""))))</f>
        <v/>
      </c>
      <c r="N17" s="28">
        <f>IF('คำนวณ'!$B16=0,"",IF('คำนวณ'!$DB16=2,IF(SMALL('คำนวณ'!$CF16:$CY16,2)&gt;=999999999,"",INDEX('ตารางเวร'!$A$10:$A$29,MATCH(SMALL('คำนวณ'!$CF16:$CY16,2),'คำนวณ'!$CF16:$CY16,0))&amp;IF(AND(TRIM('ตารางเวร'!$B$5)&lt;&gt;"",UPPER(SUBSTITUTE(INDEX('คำนวณ'!$C16:$V16,MATCH(SMALL('คำนวณ'!$CF16:$CY16,2),'คำนวณ'!$CF16:$CY16,0)),"*",""))="D"),"(D)","")),IF(SMALL('คำนวณ'!$CF16:$CY16,3)&gt;=999999999,"",INDEX('ตารางเวร'!$A$10:$A$29,MATCH(SMALL('คำนวณ'!$CF16:$CY16,3),'คำนวณ'!$CF16:$CY16,0))&amp;IF(AND(TRIM('ตารางเวร'!$B$5)&lt;&gt;"",UPPER(SUBSTITUTE(INDEX('คำนวณ'!$C16:$V16,MATCH(SMALL('คำนวณ'!$CF16:$CY16,3),'คำนวณ'!$CF16:$CY16,0)),"*",""))="D"),"(D)",""))))</f>
        <v/>
      </c>
      <c r="O17" s="29">
        <f>IF('คำนวณ'!$B16=0,"",TRIM(IF(SMALL('คำนวณ'!$CF16:$CY16,4)&gt;=999999999,"","  "&amp;INDEX('ตารางเวร'!$A$10:$A$29,MATCH(SMALL('คำนวณ'!$CF16:$CY16,4),'คำนวณ'!$CF16:$CY16,0))&amp;IF(AND(TRIM('ตารางเวร'!$B$5)&lt;&gt;"",UPPER(SUBSTITUTE(INDEX('คำนวณ'!$C16:$V16,MATCH(SMALL('คำนวณ'!$CF16:$CY16,4),'คำนวณ'!$CF16:$CY16,0)),"*",""))="D"),"(D)",""))&amp;IF(SMALL('คำนวณ'!$CF16:$CY16,5)&gt;=999999999,"","  "&amp;INDEX('ตารางเวร'!$A$10:$A$29,MATCH(SMALL('คำนวณ'!$CF16:$CY16,5),'คำนวณ'!$CF16:$CY16,0))&amp;IF(AND(TRIM('ตารางเวร'!$B$5)&lt;&gt;"",UPPER(SUBSTITUTE(INDEX('คำนวณ'!$C16:$V16,MATCH(SMALL('คำนวณ'!$CF16:$CY16,5),'คำนวณ'!$CF16:$CY16,0)),"*",""))="D"),"(D)",""))&amp;IF(SMALL('คำนวณ'!$CF16:$CY16,6)&gt;=999999999,"","  "&amp;INDEX('ตารางเวร'!$A$10:$A$29,MATCH(SMALL('คำนวณ'!$CF16:$CY16,6),'คำนวณ'!$CF16:$CY16,0))&amp;IF(AND(TRIM('ตารางเวร'!$B$5)&lt;&gt;"",UPPER(SUBSTITUTE(INDEX('คำนวณ'!$C16:$V16,MATCH(SMALL('คำนวณ'!$CF16:$CY16,6),'คำนวณ'!$CF16:$CY16,0)),"*",""))="D"),"(D)",""))&amp;IF(SMALL('คำนวณ'!$CF16:$CY16,7)&gt;=999999999,"","  "&amp;INDEX('ตารางเวร'!$A$10:$A$29,MATCH(SMALL('คำนวณ'!$CF16:$CY16,7),'คำนวณ'!$CF16:$CY16,0))&amp;IF(AND(TRIM('ตารางเวร'!$B$5)&lt;&gt;"",UPPER(SUBSTITUTE(INDEX('คำนวณ'!$C16:$V16,MATCH(SMALL('คำนวณ'!$CF16:$CY16,7),'คำนวณ'!$CF16:$CY16,0)),"*",""))="D"),"(D)",""))&amp;IF(SMALL('คำนวณ'!$BK16:$CD16,9)&gt;=999999,"","  "&amp;INDEX('ตารางเวร'!$A$10:$A$29,SMALL('คำนวณ'!$BK16:$CD16,9))&amp;IF(UPPER(SUBSTITUTE(INDEX('คำนวณ'!$C16:$V16,SMALL('คำนวณ'!$BK16:$CD16,9)),"*",""))="D","(D)",""))&amp;IF(SMALL('คำนวณ'!$BK16:$CD16,10)&gt;=999999,"","  "&amp;INDEX('ตารางเวร'!$A$10:$A$29,SMALL('คำนวณ'!$BK16:$CD16,10))&amp;IF(UPPER(SUBSTITUTE(INDEX('คำนวณ'!$C16:$V16,SMALL('คำนวณ'!$BK16:$CD16,10)),"*",""))="D","(D)",""))&amp;IF(SMALL('คำนวณ'!$BK16:$CD16,11)&gt;=999999,"","  "&amp;INDEX('ตารางเวร'!$A$10:$A$29,SMALL('คำนวณ'!$BK16:$CD16,11))&amp;IF(UPPER(SUBSTITUTE(INDEX('คำนวณ'!$C16:$V16,SMALL('คำนวณ'!$BK16:$CD16,11)),"*",""))="D","(D)",""))&amp;IF(SMALL('คำนวณ'!$BK16:$CD16,12)&gt;=999999,"","  "&amp;INDEX('ตารางเวร'!$A$10:$A$29,SMALL('คำนวณ'!$BK16:$CD16,12))&amp;IF(UPPER(SUBSTITUTE(INDEX('คำนวณ'!$C16:$V16,SMALL('คำนวณ'!$BK16:$CD16,12)),"*",""))="D","(D)",""))))</f>
        <v/>
      </c>
    </row>
    <row r="18">
      <c r="A18" s="15">
        <f>IF('คำนวณ'!$B17=0,"",'คำนวณ'!$A17)</f>
        <v/>
      </c>
      <c r="B18" s="15">
        <f>IF('คำนวณ'!$B17=0,"",'ตารางเวร'!Q$9)</f>
        <v/>
      </c>
      <c r="C18" s="24">
        <f>IF('คำนวณ'!$B17=0,"",IF(SMALL('คำนวณ'!$BK17:$CD17,1)&gt;=999999,"",INDEX('ตารางเวร'!$A$10:$A$29,SMALL('คำนวณ'!$BK17:$CD17,1))&amp;IF(UPPER(SUBSTITUTE(INDEX('คำนวณ'!$C17:$V17,SMALL('คำนวณ'!$BK17:$CD17,1)),"*",""))="D","(D)","")))</f>
        <v/>
      </c>
      <c r="D18" s="24">
        <f>IF('คำนวณ'!$B17=0,"",IF(SMALL('คำนวณ'!$BK17:$CD17,2)&gt;=999999,"",INDEX('ตารางเวร'!$A$10:$A$29,SMALL('คำนวณ'!$BK17:$CD17,2))&amp;IF(UPPER(SUBSTITUTE(INDEX('คำนวณ'!$C17:$V17,SMALL('คำนวณ'!$BK17:$CD17,2)),"*",""))="D","(D)","")))</f>
        <v/>
      </c>
      <c r="E18" s="24">
        <f>IF('คำนวณ'!$B17=0,"",IF(SMALL('คำนวณ'!$BK17:$CD17,3)&gt;=999999,"",INDEX('ตารางเวร'!$A$10:$A$29,SMALL('คำนวณ'!$BK17:$CD17,3))&amp;IF(UPPER(SUBSTITUTE(INDEX('คำนวณ'!$C17:$V17,SMALL('คำนวณ'!$BK17:$CD17,3)),"*",""))="D","(D)","")))</f>
        <v/>
      </c>
      <c r="F18" s="24">
        <f>IF('คำนวณ'!$B17=0,"",IF(SMALL('คำนวณ'!$BK17:$CD17,4)&gt;=999999,"",INDEX('ตารางเวร'!$A$10:$A$29,SMALL('คำนวณ'!$BK17:$CD17,4))&amp;IF(UPPER(SUBSTITUTE(INDEX('คำนวณ'!$C17:$V17,SMALL('คำนวณ'!$BK17:$CD17,4)),"*",""))="D","(D)","")))</f>
        <v/>
      </c>
      <c r="G18" s="24">
        <f>IF('คำนวณ'!$B17=0,"",IF(SMALL('คำนวณ'!$BK17:$CD17,5)&gt;=999999,"",INDEX('ตารางเวร'!$A$10:$A$29,SMALL('คำนวณ'!$BK17:$CD17,5))&amp;IF(UPPER(SUBSTITUTE(INDEX('คำนวณ'!$C17:$V17,SMALL('คำนวณ'!$BK17:$CD17,5)),"*",""))="D","(D)","")))</f>
        <v/>
      </c>
      <c r="H18" s="24">
        <f>IF('คำนวณ'!$B17=0,"",IF(SMALL('คำนวณ'!$BK17:$CD17,6)&gt;=999999,"",INDEX('ตารางเวร'!$A$10:$A$29,SMALL('คำนวณ'!$BK17:$CD17,6))&amp;IF(UPPER(SUBSTITUTE(INDEX('คำนวณ'!$C17:$V17,SMALL('คำนวณ'!$BK17:$CD17,6)),"*",""))="D","(D)","")))</f>
        <v/>
      </c>
      <c r="I18" s="24">
        <f>IF('คำนวณ'!$B17=0,"",IF(SMALL('คำนวณ'!$BK17:$CD17,7)&gt;=999999,"",INDEX('ตารางเวร'!$A$10:$A$29,SMALL('คำนวณ'!$BK17:$CD17,7))&amp;IF(UPPER(SUBSTITUTE(INDEX('คำนวณ'!$C17:$V17,SMALL('คำนวณ'!$BK17:$CD17,7)),"*",""))="D","(D)","")))</f>
        <v/>
      </c>
      <c r="J18" s="24">
        <f>IF('คำนวณ'!$B17=0,"",IF(SMALL('คำนวณ'!$BK17:$CD17,8)&gt;=999999,"",INDEX('ตารางเวร'!$A$10:$A$29,SMALL('คำนวณ'!$BK17:$CD17,8))&amp;IF(UPPER(SUBSTITUTE(INDEX('คำนวณ'!$C17:$V17,SMALL('คำนวณ'!$BK17:$CD17,8)),"*",""))="D","(D)","")))</f>
        <v/>
      </c>
      <c r="K18" s="25">
        <f>IF(OR('คำนวณ'!$B17=0,'คำนวณ'!$CE17=0),"",INDEX('ตารางเวร'!$A$10:$A$29,'คำนวณ'!$CE17)&amp;IF(AND(TRIM('ตารางเวร'!$B$5)&lt;&gt;"",UPPER(SUBSTITUTE(INDEX('คำนวณ'!$C17:$V17,'คำนวณ'!$CE17),"*",""))="D"),"(D)",""))</f>
        <v/>
      </c>
      <c r="L18" s="26">
        <f>IF('คำนวณ'!$B17=0,"",IF('คำนวณ'!$DB17=2,"",IF(SMALL('คำนวณ'!$CF17:$CY17,1)&gt;=999999999,"",INDEX('ตารางเวร'!$A$10:$A$29,MATCH(SMALL('คำนวณ'!$CF17:$CY17,1),'คำนวณ'!$CF17:$CY17,0))&amp;IF(AND(TRIM('ตารางเวร'!$B$5)&lt;&gt;"",UPPER(SUBSTITUTE(INDEX('คำนวณ'!$C17:$V17,MATCH(SMALL('คำนวณ'!$CF17:$CY17,1),'คำนวณ'!$CF17:$CY17,0)),"*",""))="D"),"(D)",""))))</f>
        <v/>
      </c>
      <c r="M18" s="27">
        <f>IF('คำนวณ'!$B17=0,"",IF('คำนวณ'!$DB17=2,IF(SMALL('คำนวณ'!$CF17:$CY17,1)&gt;=999999999,"",INDEX('ตารางเวร'!$A$10:$A$29,MATCH(SMALL('คำนวณ'!$CF17:$CY17,1),'คำนวณ'!$CF17:$CY17,0))&amp;IF(AND(TRIM('ตารางเวร'!$B$5)&lt;&gt;"",UPPER(SUBSTITUTE(INDEX('คำนวณ'!$C17:$V17,MATCH(SMALL('คำนวณ'!$CF17:$CY17,1),'คำนวณ'!$CF17:$CY17,0)),"*",""))="D"),"(D)","")),IF(SMALL('คำนวณ'!$CF17:$CY17,2)&gt;=999999999,"",INDEX('ตารางเวร'!$A$10:$A$29,MATCH(SMALL('คำนวณ'!$CF17:$CY17,2),'คำนวณ'!$CF17:$CY17,0))&amp;IF(AND(TRIM('ตารางเวร'!$B$5)&lt;&gt;"",UPPER(SUBSTITUTE(INDEX('คำนวณ'!$C17:$V17,MATCH(SMALL('คำนวณ'!$CF17:$CY17,2),'คำนวณ'!$CF17:$CY17,0)),"*",""))="D"),"(D)",""))))</f>
        <v/>
      </c>
      <c r="N18" s="28">
        <f>IF('คำนวณ'!$B17=0,"",IF('คำนวณ'!$DB17=2,IF(SMALL('คำนวณ'!$CF17:$CY17,2)&gt;=999999999,"",INDEX('ตารางเวร'!$A$10:$A$29,MATCH(SMALL('คำนวณ'!$CF17:$CY17,2),'คำนวณ'!$CF17:$CY17,0))&amp;IF(AND(TRIM('ตารางเวร'!$B$5)&lt;&gt;"",UPPER(SUBSTITUTE(INDEX('คำนวณ'!$C17:$V17,MATCH(SMALL('คำนวณ'!$CF17:$CY17,2),'คำนวณ'!$CF17:$CY17,0)),"*",""))="D"),"(D)","")),IF(SMALL('คำนวณ'!$CF17:$CY17,3)&gt;=999999999,"",INDEX('ตารางเวร'!$A$10:$A$29,MATCH(SMALL('คำนวณ'!$CF17:$CY17,3),'คำนวณ'!$CF17:$CY17,0))&amp;IF(AND(TRIM('ตารางเวร'!$B$5)&lt;&gt;"",UPPER(SUBSTITUTE(INDEX('คำนวณ'!$C17:$V17,MATCH(SMALL('คำนวณ'!$CF17:$CY17,3),'คำนวณ'!$CF17:$CY17,0)),"*",""))="D"),"(D)",""))))</f>
        <v/>
      </c>
      <c r="O18" s="29">
        <f>IF('คำนวณ'!$B17=0,"",TRIM(IF(SMALL('คำนวณ'!$CF17:$CY17,4)&gt;=999999999,"","  "&amp;INDEX('ตารางเวร'!$A$10:$A$29,MATCH(SMALL('คำนวณ'!$CF17:$CY17,4),'คำนวณ'!$CF17:$CY17,0))&amp;IF(AND(TRIM('ตารางเวร'!$B$5)&lt;&gt;"",UPPER(SUBSTITUTE(INDEX('คำนวณ'!$C17:$V17,MATCH(SMALL('คำนวณ'!$CF17:$CY17,4),'คำนวณ'!$CF17:$CY17,0)),"*",""))="D"),"(D)",""))&amp;IF(SMALL('คำนวณ'!$CF17:$CY17,5)&gt;=999999999,"","  "&amp;INDEX('ตารางเวร'!$A$10:$A$29,MATCH(SMALL('คำนวณ'!$CF17:$CY17,5),'คำนวณ'!$CF17:$CY17,0))&amp;IF(AND(TRIM('ตารางเวร'!$B$5)&lt;&gt;"",UPPER(SUBSTITUTE(INDEX('คำนวณ'!$C17:$V17,MATCH(SMALL('คำนวณ'!$CF17:$CY17,5),'คำนวณ'!$CF17:$CY17,0)),"*",""))="D"),"(D)",""))&amp;IF(SMALL('คำนวณ'!$CF17:$CY17,6)&gt;=999999999,"","  "&amp;INDEX('ตารางเวร'!$A$10:$A$29,MATCH(SMALL('คำนวณ'!$CF17:$CY17,6),'คำนวณ'!$CF17:$CY17,0))&amp;IF(AND(TRIM('ตารางเวร'!$B$5)&lt;&gt;"",UPPER(SUBSTITUTE(INDEX('คำนวณ'!$C17:$V17,MATCH(SMALL('คำนวณ'!$CF17:$CY17,6),'คำนวณ'!$CF17:$CY17,0)),"*",""))="D"),"(D)",""))&amp;IF(SMALL('คำนวณ'!$CF17:$CY17,7)&gt;=999999999,"","  "&amp;INDEX('ตารางเวร'!$A$10:$A$29,MATCH(SMALL('คำนวณ'!$CF17:$CY17,7),'คำนวณ'!$CF17:$CY17,0))&amp;IF(AND(TRIM('ตารางเวร'!$B$5)&lt;&gt;"",UPPER(SUBSTITUTE(INDEX('คำนวณ'!$C17:$V17,MATCH(SMALL('คำนวณ'!$CF17:$CY17,7),'คำนวณ'!$CF17:$CY17,0)),"*",""))="D"),"(D)",""))&amp;IF(SMALL('คำนวณ'!$BK17:$CD17,9)&gt;=999999,"","  "&amp;INDEX('ตารางเวร'!$A$10:$A$29,SMALL('คำนวณ'!$BK17:$CD17,9))&amp;IF(UPPER(SUBSTITUTE(INDEX('คำนวณ'!$C17:$V17,SMALL('คำนวณ'!$BK17:$CD17,9)),"*",""))="D","(D)",""))&amp;IF(SMALL('คำนวณ'!$BK17:$CD17,10)&gt;=999999,"","  "&amp;INDEX('ตารางเวร'!$A$10:$A$29,SMALL('คำนวณ'!$BK17:$CD17,10))&amp;IF(UPPER(SUBSTITUTE(INDEX('คำนวณ'!$C17:$V17,SMALL('คำนวณ'!$BK17:$CD17,10)),"*",""))="D","(D)",""))&amp;IF(SMALL('คำนวณ'!$BK17:$CD17,11)&gt;=999999,"","  "&amp;INDEX('ตารางเวร'!$A$10:$A$29,SMALL('คำนวณ'!$BK17:$CD17,11))&amp;IF(UPPER(SUBSTITUTE(INDEX('คำนวณ'!$C17:$V17,SMALL('คำนวณ'!$BK17:$CD17,11)),"*",""))="D","(D)",""))&amp;IF(SMALL('คำนวณ'!$BK17:$CD17,12)&gt;=999999,"","  "&amp;INDEX('ตารางเวร'!$A$10:$A$29,SMALL('คำนวณ'!$BK17:$CD17,12))&amp;IF(UPPER(SUBSTITUTE(INDEX('คำนวณ'!$C17:$V17,SMALL('คำนวณ'!$BK17:$CD17,12)),"*",""))="D","(D)",""))))</f>
        <v/>
      </c>
    </row>
    <row r="19">
      <c r="A19" s="15">
        <f>IF('คำนวณ'!$B18=0,"",'คำนวณ'!$A18)</f>
        <v/>
      </c>
      <c r="B19" s="15">
        <f>IF('คำนวณ'!$B18=0,"",'ตารางเวร'!R$9)</f>
        <v/>
      </c>
      <c r="C19" s="24">
        <f>IF('คำนวณ'!$B18=0,"",IF(SMALL('คำนวณ'!$BK18:$CD18,1)&gt;=999999,"",INDEX('ตารางเวร'!$A$10:$A$29,SMALL('คำนวณ'!$BK18:$CD18,1))&amp;IF(UPPER(SUBSTITUTE(INDEX('คำนวณ'!$C18:$V18,SMALL('คำนวณ'!$BK18:$CD18,1)),"*",""))="D","(D)","")))</f>
        <v/>
      </c>
      <c r="D19" s="24">
        <f>IF('คำนวณ'!$B18=0,"",IF(SMALL('คำนวณ'!$BK18:$CD18,2)&gt;=999999,"",INDEX('ตารางเวร'!$A$10:$A$29,SMALL('คำนวณ'!$BK18:$CD18,2))&amp;IF(UPPER(SUBSTITUTE(INDEX('คำนวณ'!$C18:$V18,SMALL('คำนวณ'!$BK18:$CD18,2)),"*",""))="D","(D)","")))</f>
        <v/>
      </c>
      <c r="E19" s="24">
        <f>IF('คำนวณ'!$B18=0,"",IF(SMALL('คำนวณ'!$BK18:$CD18,3)&gt;=999999,"",INDEX('ตารางเวร'!$A$10:$A$29,SMALL('คำนวณ'!$BK18:$CD18,3))&amp;IF(UPPER(SUBSTITUTE(INDEX('คำนวณ'!$C18:$V18,SMALL('คำนวณ'!$BK18:$CD18,3)),"*",""))="D","(D)","")))</f>
        <v/>
      </c>
      <c r="F19" s="24">
        <f>IF('คำนวณ'!$B18=0,"",IF(SMALL('คำนวณ'!$BK18:$CD18,4)&gt;=999999,"",INDEX('ตารางเวร'!$A$10:$A$29,SMALL('คำนวณ'!$BK18:$CD18,4))&amp;IF(UPPER(SUBSTITUTE(INDEX('คำนวณ'!$C18:$V18,SMALL('คำนวณ'!$BK18:$CD18,4)),"*",""))="D","(D)","")))</f>
        <v/>
      </c>
      <c r="G19" s="24">
        <f>IF('คำนวณ'!$B18=0,"",IF(SMALL('คำนวณ'!$BK18:$CD18,5)&gt;=999999,"",INDEX('ตารางเวร'!$A$10:$A$29,SMALL('คำนวณ'!$BK18:$CD18,5))&amp;IF(UPPER(SUBSTITUTE(INDEX('คำนวณ'!$C18:$V18,SMALL('คำนวณ'!$BK18:$CD18,5)),"*",""))="D","(D)","")))</f>
        <v/>
      </c>
      <c r="H19" s="24">
        <f>IF('คำนวณ'!$B18=0,"",IF(SMALL('คำนวณ'!$BK18:$CD18,6)&gt;=999999,"",INDEX('ตารางเวร'!$A$10:$A$29,SMALL('คำนวณ'!$BK18:$CD18,6))&amp;IF(UPPER(SUBSTITUTE(INDEX('คำนวณ'!$C18:$V18,SMALL('คำนวณ'!$BK18:$CD18,6)),"*",""))="D","(D)","")))</f>
        <v/>
      </c>
      <c r="I19" s="24">
        <f>IF('คำนวณ'!$B18=0,"",IF(SMALL('คำนวณ'!$BK18:$CD18,7)&gt;=999999,"",INDEX('ตารางเวร'!$A$10:$A$29,SMALL('คำนวณ'!$BK18:$CD18,7))&amp;IF(UPPER(SUBSTITUTE(INDEX('คำนวณ'!$C18:$V18,SMALL('คำนวณ'!$BK18:$CD18,7)),"*",""))="D","(D)","")))</f>
        <v/>
      </c>
      <c r="J19" s="24">
        <f>IF('คำนวณ'!$B18=0,"",IF(SMALL('คำนวณ'!$BK18:$CD18,8)&gt;=999999,"",INDEX('ตารางเวร'!$A$10:$A$29,SMALL('คำนวณ'!$BK18:$CD18,8))&amp;IF(UPPER(SUBSTITUTE(INDEX('คำนวณ'!$C18:$V18,SMALL('คำนวณ'!$BK18:$CD18,8)),"*",""))="D","(D)","")))</f>
        <v/>
      </c>
      <c r="K19" s="25">
        <f>IF(OR('คำนวณ'!$B18=0,'คำนวณ'!$CE18=0),"",INDEX('ตารางเวร'!$A$10:$A$29,'คำนวณ'!$CE18)&amp;IF(AND(TRIM('ตารางเวร'!$B$5)&lt;&gt;"",UPPER(SUBSTITUTE(INDEX('คำนวณ'!$C18:$V18,'คำนวณ'!$CE18),"*",""))="D"),"(D)",""))</f>
        <v/>
      </c>
      <c r="L19" s="26">
        <f>IF('คำนวณ'!$B18=0,"",IF('คำนวณ'!$DB18=2,"",IF(SMALL('คำนวณ'!$CF18:$CY18,1)&gt;=999999999,"",INDEX('ตารางเวร'!$A$10:$A$29,MATCH(SMALL('คำนวณ'!$CF18:$CY18,1),'คำนวณ'!$CF18:$CY18,0))&amp;IF(AND(TRIM('ตารางเวร'!$B$5)&lt;&gt;"",UPPER(SUBSTITUTE(INDEX('คำนวณ'!$C18:$V18,MATCH(SMALL('คำนวณ'!$CF18:$CY18,1),'คำนวณ'!$CF18:$CY18,0)),"*",""))="D"),"(D)",""))))</f>
        <v/>
      </c>
      <c r="M19" s="27">
        <f>IF('คำนวณ'!$B18=0,"",IF('คำนวณ'!$DB18=2,IF(SMALL('คำนวณ'!$CF18:$CY18,1)&gt;=999999999,"",INDEX('ตารางเวร'!$A$10:$A$29,MATCH(SMALL('คำนวณ'!$CF18:$CY18,1),'คำนวณ'!$CF18:$CY18,0))&amp;IF(AND(TRIM('ตารางเวร'!$B$5)&lt;&gt;"",UPPER(SUBSTITUTE(INDEX('คำนวณ'!$C18:$V18,MATCH(SMALL('คำนวณ'!$CF18:$CY18,1),'คำนวณ'!$CF18:$CY18,0)),"*",""))="D"),"(D)","")),IF(SMALL('คำนวณ'!$CF18:$CY18,2)&gt;=999999999,"",INDEX('ตารางเวร'!$A$10:$A$29,MATCH(SMALL('คำนวณ'!$CF18:$CY18,2),'คำนวณ'!$CF18:$CY18,0))&amp;IF(AND(TRIM('ตารางเวร'!$B$5)&lt;&gt;"",UPPER(SUBSTITUTE(INDEX('คำนวณ'!$C18:$V18,MATCH(SMALL('คำนวณ'!$CF18:$CY18,2),'คำนวณ'!$CF18:$CY18,0)),"*",""))="D"),"(D)",""))))</f>
        <v/>
      </c>
      <c r="N19" s="28">
        <f>IF('คำนวณ'!$B18=0,"",IF('คำนวณ'!$DB18=2,IF(SMALL('คำนวณ'!$CF18:$CY18,2)&gt;=999999999,"",INDEX('ตารางเวร'!$A$10:$A$29,MATCH(SMALL('คำนวณ'!$CF18:$CY18,2),'คำนวณ'!$CF18:$CY18,0))&amp;IF(AND(TRIM('ตารางเวร'!$B$5)&lt;&gt;"",UPPER(SUBSTITUTE(INDEX('คำนวณ'!$C18:$V18,MATCH(SMALL('คำนวณ'!$CF18:$CY18,2),'คำนวณ'!$CF18:$CY18,0)),"*",""))="D"),"(D)","")),IF(SMALL('คำนวณ'!$CF18:$CY18,3)&gt;=999999999,"",INDEX('ตารางเวร'!$A$10:$A$29,MATCH(SMALL('คำนวณ'!$CF18:$CY18,3),'คำนวณ'!$CF18:$CY18,0))&amp;IF(AND(TRIM('ตารางเวร'!$B$5)&lt;&gt;"",UPPER(SUBSTITUTE(INDEX('คำนวณ'!$C18:$V18,MATCH(SMALL('คำนวณ'!$CF18:$CY18,3),'คำนวณ'!$CF18:$CY18,0)),"*",""))="D"),"(D)",""))))</f>
        <v/>
      </c>
      <c r="O19" s="29">
        <f>IF('คำนวณ'!$B18=0,"",TRIM(IF(SMALL('คำนวณ'!$CF18:$CY18,4)&gt;=999999999,"","  "&amp;INDEX('ตารางเวร'!$A$10:$A$29,MATCH(SMALL('คำนวณ'!$CF18:$CY18,4),'คำนวณ'!$CF18:$CY18,0))&amp;IF(AND(TRIM('ตารางเวร'!$B$5)&lt;&gt;"",UPPER(SUBSTITUTE(INDEX('คำนวณ'!$C18:$V18,MATCH(SMALL('คำนวณ'!$CF18:$CY18,4),'คำนวณ'!$CF18:$CY18,0)),"*",""))="D"),"(D)",""))&amp;IF(SMALL('คำนวณ'!$CF18:$CY18,5)&gt;=999999999,"","  "&amp;INDEX('ตารางเวร'!$A$10:$A$29,MATCH(SMALL('คำนวณ'!$CF18:$CY18,5),'คำนวณ'!$CF18:$CY18,0))&amp;IF(AND(TRIM('ตารางเวร'!$B$5)&lt;&gt;"",UPPER(SUBSTITUTE(INDEX('คำนวณ'!$C18:$V18,MATCH(SMALL('คำนวณ'!$CF18:$CY18,5),'คำนวณ'!$CF18:$CY18,0)),"*",""))="D"),"(D)",""))&amp;IF(SMALL('คำนวณ'!$CF18:$CY18,6)&gt;=999999999,"","  "&amp;INDEX('ตารางเวร'!$A$10:$A$29,MATCH(SMALL('คำนวณ'!$CF18:$CY18,6),'คำนวณ'!$CF18:$CY18,0))&amp;IF(AND(TRIM('ตารางเวร'!$B$5)&lt;&gt;"",UPPER(SUBSTITUTE(INDEX('คำนวณ'!$C18:$V18,MATCH(SMALL('คำนวณ'!$CF18:$CY18,6),'คำนวณ'!$CF18:$CY18,0)),"*",""))="D"),"(D)",""))&amp;IF(SMALL('คำนวณ'!$CF18:$CY18,7)&gt;=999999999,"","  "&amp;INDEX('ตารางเวร'!$A$10:$A$29,MATCH(SMALL('คำนวณ'!$CF18:$CY18,7),'คำนวณ'!$CF18:$CY18,0))&amp;IF(AND(TRIM('ตารางเวร'!$B$5)&lt;&gt;"",UPPER(SUBSTITUTE(INDEX('คำนวณ'!$C18:$V18,MATCH(SMALL('คำนวณ'!$CF18:$CY18,7),'คำนวณ'!$CF18:$CY18,0)),"*",""))="D"),"(D)",""))&amp;IF(SMALL('คำนวณ'!$BK18:$CD18,9)&gt;=999999,"","  "&amp;INDEX('ตารางเวร'!$A$10:$A$29,SMALL('คำนวณ'!$BK18:$CD18,9))&amp;IF(UPPER(SUBSTITUTE(INDEX('คำนวณ'!$C18:$V18,SMALL('คำนวณ'!$BK18:$CD18,9)),"*",""))="D","(D)",""))&amp;IF(SMALL('คำนวณ'!$BK18:$CD18,10)&gt;=999999,"","  "&amp;INDEX('ตารางเวร'!$A$10:$A$29,SMALL('คำนวณ'!$BK18:$CD18,10))&amp;IF(UPPER(SUBSTITUTE(INDEX('คำนวณ'!$C18:$V18,SMALL('คำนวณ'!$BK18:$CD18,10)),"*",""))="D","(D)",""))&amp;IF(SMALL('คำนวณ'!$BK18:$CD18,11)&gt;=999999,"","  "&amp;INDEX('ตารางเวร'!$A$10:$A$29,SMALL('คำนวณ'!$BK18:$CD18,11))&amp;IF(UPPER(SUBSTITUTE(INDEX('คำนวณ'!$C18:$V18,SMALL('คำนวณ'!$BK18:$CD18,11)),"*",""))="D","(D)",""))&amp;IF(SMALL('คำนวณ'!$BK18:$CD18,12)&gt;=999999,"","  "&amp;INDEX('ตารางเวร'!$A$10:$A$29,SMALL('คำนวณ'!$BK18:$CD18,12))&amp;IF(UPPER(SUBSTITUTE(INDEX('คำนวณ'!$C18:$V18,SMALL('คำนวณ'!$BK18:$CD18,12)),"*",""))="D","(D)",""))))</f>
        <v/>
      </c>
    </row>
    <row r="20">
      <c r="A20" s="15">
        <f>IF('คำนวณ'!$B19=0,"",'คำนวณ'!$A19)</f>
        <v/>
      </c>
      <c r="B20" s="15">
        <f>IF('คำนวณ'!$B19=0,"",'ตารางเวร'!S$9)</f>
        <v/>
      </c>
      <c r="C20" s="24">
        <f>IF('คำนวณ'!$B19=0,"",IF(SMALL('คำนวณ'!$BK19:$CD19,1)&gt;=999999,"",INDEX('ตารางเวร'!$A$10:$A$29,SMALL('คำนวณ'!$BK19:$CD19,1))&amp;IF(UPPER(SUBSTITUTE(INDEX('คำนวณ'!$C19:$V19,SMALL('คำนวณ'!$BK19:$CD19,1)),"*",""))="D","(D)","")))</f>
        <v/>
      </c>
      <c r="D20" s="24">
        <f>IF('คำนวณ'!$B19=0,"",IF(SMALL('คำนวณ'!$BK19:$CD19,2)&gt;=999999,"",INDEX('ตารางเวร'!$A$10:$A$29,SMALL('คำนวณ'!$BK19:$CD19,2))&amp;IF(UPPER(SUBSTITUTE(INDEX('คำนวณ'!$C19:$V19,SMALL('คำนวณ'!$BK19:$CD19,2)),"*",""))="D","(D)","")))</f>
        <v/>
      </c>
      <c r="E20" s="24">
        <f>IF('คำนวณ'!$B19=0,"",IF(SMALL('คำนวณ'!$BK19:$CD19,3)&gt;=999999,"",INDEX('ตารางเวร'!$A$10:$A$29,SMALL('คำนวณ'!$BK19:$CD19,3))&amp;IF(UPPER(SUBSTITUTE(INDEX('คำนวณ'!$C19:$V19,SMALL('คำนวณ'!$BK19:$CD19,3)),"*",""))="D","(D)","")))</f>
        <v/>
      </c>
      <c r="F20" s="24">
        <f>IF('คำนวณ'!$B19=0,"",IF(SMALL('คำนวณ'!$BK19:$CD19,4)&gt;=999999,"",INDEX('ตารางเวร'!$A$10:$A$29,SMALL('คำนวณ'!$BK19:$CD19,4))&amp;IF(UPPER(SUBSTITUTE(INDEX('คำนวณ'!$C19:$V19,SMALL('คำนวณ'!$BK19:$CD19,4)),"*",""))="D","(D)","")))</f>
        <v/>
      </c>
      <c r="G20" s="24">
        <f>IF('คำนวณ'!$B19=0,"",IF(SMALL('คำนวณ'!$BK19:$CD19,5)&gt;=999999,"",INDEX('ตารางเวร'!$A$10:$A$29,SMALL('คำนวณ'!$BK19:$CD19,5))&amp;IF(UPPER(SUBSTITUTE(INDEX('คำนวณ'!$C19:$V19,SMALL('คำนวณ'!$BK19:$CD19,5)),"*",""))="D","(D)","")))</f>
        <v/>
      </c>
      <c r="H20" s="24">
        <f>IF('คำนวณ'!$B19=0,"",IF(SMALL('คำนวณ'!$BK19:$CD19,6)&gt;=999999,"",INDEX('ตารางเวร'!$A$10:$A$29,SMALL('คำนวณ'!$BK19:$CD19,6))&amp;IF(UPPER(SUBSTITUTE(INDEX('คำนวณ'!$C19:$V19,SMALL('คำนวณ'!$BK19:$CD19,6)),"*",""))="D","(D)","")))</f>
        <v/>
      </c>
      <c r="I20" s="24">
        <f>IF('คำนวณ'!$B19=0,"",IF(SMALL('คำนวณ'!$BK19:$CD19,7)&gt;=999999,"",INDEX('ตารางเวร'!$A$10:$A$29,SMALL('คำนวณ'!$BK19:$CD19,7))&amp;IF(UPPER(SUBSTITUTE(INDEX('คำนวณ'!$C19:$V19,SMALL('คำนวณ'!$BK19:$CD19,7)),"*",""))="D","(D)","")))</f>
        <v/>
      </c>
      <c r="J20" s="24">
        <f>IF('คำนวณ'!$B19=0,"",IF(SMALL('คำนวณ'!$BK19:$CD19,8)&gt;=999999,"",INDEX('ตารางเวร'!$A$10:$A$29,SMALL('คำนวณ'!$BK19:$CD19,8))&amp;IF(UPPER(SUBSTITUTE(INDEX('คำนวณ'!$C19:$V19,SMALL('คำนวณ'!$BK19:$CD19,8)),"*",""))="D","(D)","")))</f>
        <v/>
      </c>
      <c r="K20" s="25">
        <f>IF(OR('คำนวณ'!$B19=0,'คำนวณ'!$CE19=0),"",INDEX('ตารางเวร'!$A$10:$A$29,'คำนวณ'!$CE19)&amp;IF(AND(TRIM('ตารางเวร'!$B$5)&lt;&gt;"",UPPER(SUBSTITUTE(INDEX('คำนวณ'!$C19:$V19,'คำนวณ'!$CE19),"*",""))="D"),"(D)",""))</f>
        <v/>
      </c>
      <c r="L20" s="26">
        <f>IF('คำนวณ'!$B19=0,"",IF('คำนวณ'!$DB19=2,"",IF(SMALL('คำนวณ'!$CF19:$CY19,1)&gt;=999999999,"",INDEX('ตารางเวร'!$A$10:$A$29,MATCH(SMALL('คำนวณ'!$CF19:$CY19,1),'คำนวณ'!$CF19:$CY19,0))&amp;IF(AND(TRIM('ตารางเวร'!$B$5)&lt;&gt;"",UPPER(SUBSTITUTE(INDEX('คำนวณ'!$C19:$V19,MATCH(SMALL('คำนวณ'!$CF19:$CY19,1),'คำนวณ'!$CF19:$CY19,0)),"*",""))="D"),"(D)",""))))</f>
        <v/>
      </c>
      <c r="M20" s="27">
        <f>IF('คำนวณ'!$B19=0,"",IF('คำนวณ'!$DB19=2,IF(SMALL('คำนวณ'!$CF19:$CY19,1)&gt;=999999999,"",INDEX('ตารางเวร'!$A$10:$A$29,MATCH(SMALL('คำนวณ'!$CF19:$CY19,1),'คำนวณ'!$CF19:$CY19,0))&amp;IF(AND(TRIM('ตารางเวร'!$B$5)&lt;&gt;"",UPPER(SUBSTITUTE(INDEX('คำนวณ'!$C19:$V19,MATCH(SMALL('คำนวณ'!$CF19:$CY19,1),'คำนวณ'!$CF19:$CY19,0)),"*",""))="D"),"(D)","")),IF(SMALL('คำนวณ'!$CF19:$CY19,2)&gt;=999999999,"",INDEX('ตารางเวร'!$A$10:$A$29,MATCH(SMALL('คำนวณ'!$CF19:$CY19,2),'คำนวณ'!$CF19:$CY19,0))&amp;IF(AND(TRIM('ตารางเวร'!$B$5)&lt;&gt;"",UPPER(SUBSTITUTE(INDEX('คำนวณ'!$C19:$V19,MATCH(SMALL('คำนวณ'!$CF19:$CY19,2),'คำนวณ'!$CF19:$CY19,0)),"*",""))="D"),"(D)",""))))</f>
        <v/>
      </c>
      <c r="N20" s="28">
        <f>IF('คำนวณ'!$B19=0,"",IF('คำนวณ'!$DB19=2,IF(SMALL('คำนวณ'!$CF19:$CY19,2)&gt;=999999999,"",INDEX('ตารางเวร'!$A$10:$A$29,MATCH(SMALL('คำนวณ'!$CF19:$CY19,2),'คำนวณ'!$CF19:$CY19,0))&amp;IF(AND(TRIM('ตารางเวร'!$B$5)&lt;&gt;"",UPPER(SUBSTITUTE(INDEX('คำนวณ'!$C19:$V19,MATCH(SMALL('คำนวณ'!$CF19:$CY19,2),'คำนวณ'!$CF19:$CY19,0)),"*",""))="D"),"(D)","")),IF(SMALL('คำนวณ'!$CF19:$CY19,3)&gt;=999999999,"",INDEX('ตารางเวร'!$A$10:$A$29,MATCH(SMALL('คำนวณ'!$CF19:$CY19,3),'คำนวณ'!$CF19:$CY19,0))&amp;IF(AND(TRIM('ตารางเวร'!$B$5)&lt;&gt;"",UPPER(SUBSTITUTE(INDEX('คำนวณ'!$C19:$V19,MATCH(SMALL('คำนวณ'!$CF19:$CY19,3),'คำนวณ'!$CF19:$CY19,0)),"*",""))="D"),"(D)",""))))</f>
        <v/>
      </c>
      <c r="O20" s="29">
        <f>IF('คำนวณ'!$B19=0,"",TRIM(IF(SMALL('คำนวณ'!$CF19:$CY19,4)&gt;=999999999,"","  "&amp;INDEX('ตารางเวร'!$A$10:$A$29,MATCH(SMALL('คำนวณ'!$CF19:$CY19,4),'คำนวณ'!$CF19:$CY19,0))&amp;IF(AND(TRIM('ตารางเวร'!$B$5)&lt;&gt;"",UPPER(SUBSTITUTE(INDEX('คำนวณ'!$C19:$V19,MATCH(SMALL('คำนวณ'!$CF19:$CY19,4),'คำนวณ'!$CF19:$CY19,0)),"*",""))="D"),"(D)",""))&amp;IF(SMALL('คำนวณ'!$CF19:$CY19,5)&gt;=999999999,"","  "&amp;INDEX('ตารางเวร'!$A$10:$A$29,MATCH(SMALL('คำนวณ'!$CF19:$CY19,5),'คำนวณ'!$CF19:$CY19,0))&amp;IF(AND(TRIM('ตารางเวร'!$B$5)&lt;&gt;"",UPPER(SUBSTITUTE(INDEX('คำนวณ'!$C19:$V19,MATCH(SMALL('คำนวณ'!$CF19:$CY19,5),'คำนวณ'!$CF19:$CY19,0)),"*",""))="D"),"(D)",""))&amp;IF(SMALL('คำนวณ'!$CF19:$CY19,6)&gt;=999999999,"","  "&amp;INDEX('ตารางเวร'!$A$10:$A$29,MATCH(SMALL('คำนวณ'!$CF19:$CY19,6),'คำนวณ'!$CF19:$CY19,0))&amp;IF(AND(TRIM('ตารางเวร'!$B$5)&lt;&gt;"",UPPER(SUBSTITUTE(INDEX('คำนวณ'!$C19:$V19,MATCH(SMALL('คำนวณ'!$CF19:$CY19,6),'คำนวณ'!$CF19:$CY19,0)),"*",""))="D"),"(D)",""))&amp;IF(SMALL('คำนวณ'!$CF19:$CY19,7)&gt;=999999999,"","  "&amp;INDEX('ตารางเวร'!$A$10:$A$29,MATCH(SMALL('คำนวณ'!$CF19:$CY19,7),'คำนวณ'!$CF19:$CY19,0))&amp;IF(AND(TRIM('ตารางเวร'!$B$5)&lt;&gt;"",UPPER(SUBSTITUTE(INDEX('คำนวณ'!$C19:$V19,MATCH(SMALL('คำนวณ'!$CF19:$CY19,7),'คำนวณ'!$CF19:$CY19,0)),"*",""))="D"),"(D)",""))&amp;IF(SMALL('คำนวณ'!$BK19:$CD19,9)&gt;=999999,"","  "&amp;INDEX('ตารางเวร'!$A$10:$A$29,SMALL('คำนวณ'!$BK19:$CD19,9))&amp;IF(UPPER(SUBSTITUTE(INDEX('คำนวณ'!$C19:$V19,SMALL('คำนวณ'!$BK19:$CD19,9)),"*",""))="D","(D)",""))&amp;IF(SMALL('คำนวณ'!$BK19:$CD19,10)&gt;=999999,"","  "&amp;INDEX('ตารางเวร'!$A$10:$A$29,SMALL('คำนวณ'!$BK19:$CD19,10))&amp;IF(UPPER(SUBSTITUTE(INDEX('คำนวณ'!$C19:$V19,SMALL('คำนวณ'!$BK19:$CD19,10)),"*",""))="D","(D)",""))&amp;IF(SMALL('คำนวณ'!$BK19:$CD19,11)&gt;=999999,"","  "&amp;INDEX('ตารางเวร'!$A$10:$A$29,SMALL('คำนวณ'!$BK19:$CD19,11))&amp;IF(UPPER(SUBSTITUTE(INDEX('คำนวณ'!$C19:$V19,SMALL('คำนวณ'!$BK19:$CD19,11)),"*",""))="D","(D)",""))&amp;IF(SMALL('คำนวณ'!$BK19:$CD19,12)&gt;=999999,"","  "&amp;INDEX('ตารางเวร'!$A$10:$A$29,SMALL('คำนวณ'!$BK19:$CD19,12))&amp;IF(UPPER(SUBSTITUTE(INDEX('คำนวณ'!$C19:$V19,SMALL('คำนวณ'!$BK19:$CD19,12)),"*",""))="D","(D)",""))))</f>
        <v/>
      </c>
    </row>
    <row r="21">
      <c r="A21" s="15">
        <f>IF('คำนวณ'!$B20=0,"",'คำนวณ'!$A20)</f>
        <v/>
      </c>
      <c r="B21" s="15">
        <f>IF('คำนวณ'!$B20=0,"",'ตารางเวร'!T$9)</f>
        <v/>
      </c>
      <c r="C21" s="24">
        <f>IF('คำนวณ'!$B20=0,"",IF(SMALL('คำนวณ'!$BK20:$CD20,1)&gt;=999999,"",INDEX('ตารางเวร'!$A$10:$A$29,SMALL('คำนวณ'!$BK20:$CD20,1))&amp;IF(UPPER(SUBSTITUTE(INDEX('คำนวณ'!$C20:$V20,SMALL('คำนวณ'!$BK20:$CD20,1)),"*",""))="D","(D)","")))</f>
        <v/>
      </c>
      <c r="D21" s="24">
        <f>IF('คำนวณ'!$B20=0,"",IF(SMALL('คำนวณ'!$BK20:$CD20,2)&gt;=999999,"",INDEX('ตารางเวร'!$A$10:$A$29,SMALL('คำนวณ'!$BK20:$CD20,2))&amp;IF(UPPER(SUBSTITUTE(INDEX('คำนวณ'!$C20:$V20,SMALL('คำนวณ'!$BK20:$CD20,2)),"*",""))="D","(D)","")))</f>
        <v/>
      </c>
      <c r="E21" s="24">
        <f>IF('คำนวณ'!$B20=0,"",IF(SMALL('คำนวณ'!$BK20:$CD20,3)&gt;=999999,"",INDEX('ตารางเวร'!$A$10:$A$29,SMALL('คำนวณ'!$BK20:$CD20,3))&amp;IF(UPPER(SUBSTITUTE(INDEX('คำนวณ'!$C20:$V20,SMALL('คำนวณ'!$BK20:$CD20,3)),"*",""))="D","(D)","")))</f>
        <v/>
      </c>
      <c r="F21" s="24">
        <f>IF('คำนวณ'!$B20=0,"",IF(SMALL('คำนวณ'!$BK20:$CD20,4)&gt;=999999,"",INDEX('ตารางเวร'!$A$10:$A$29,SMALL('คำนวณ'!$BK20:$CD20,4))&amp;IF(UPPER(SUBSTITUTE(INDEX('คำนวณ'!$C20:$V20,SMALL('คำนวณ'!$BK20:$CD20,4)),"*",""))="D","(D)","")))</f>
        <v/>
      </c>
      <c r="G21" s="24">
        <f>IF('คำนวณ'!$B20=0,"",IF(SMALL('คำนวณ'!$BK20:$CD20,5)&gt;=999999,"",INDEX('ตารางเวร'!$A$10:$A$29,SMALL('คำนวณ'!$BK20:$CD20,5))&amp;IF(UPPER(SUBSTITUTE(INDEX('คำนวณ'!$C20:$V20,SMALL('คำนวณ'!$BK20:$CD20,5)),"*",""))="D","(D)","")))</f>
        <v/>
      </c>
      <c r="H21" s="24">
        <f>IF('คำนวณ'!$B20=0,"",IF(SMALL('คำนวณ'!$BK20:$CD20,6)&gt;=999999,"",INDEX('ตารางเวร'!$A$10:$A$29,SMALL('คำนวณ'!$BK20:$CD20,6))&amp;IF(UPPER(SUBSTITUTE(INDEX('คำนวณ'!$C20:$V20,SMALL('คำนวณ'!$BK20:$CD20,6)),"*",""))="D","(D)","")))</f>
        <v/>
      </c>
      <c r="I21" s="24">
        <f>IF('คำนวณ'!$B20=0,"",IF(SMALL('คำนวณ'!$BK20:$CD20,7)&gt;=999999,"",INDEX('ตารางเวร'!$A$10:$A$29,SMALL('คำนวณ'!$BK20:$CD20,7))&amp;IF(UPPER(SUBSTITUTE(INDEX('คำนวณ'!$C20:$V20,SMALL('คำนวณ'!$BK20:$CD20,7)),"*",""))="D","(D)","")))</f>
        <v/>
      </c>
      <c r="J21" s="24">
        <f>IF('คำนวณ'!$B20=0,"",IF(SMALL('คำนวณ'!$BK20:$CD20,8)&gt;=999999,"",INDEX('ตารางเวร'!$A$10:$A$29,SMALL('คำนวณ'!$BK20:$CD20,8))&amp;IF(UPPER(SUBSTITUTE(INDEX('คำนวณ'!$C20:$V20,SMALL('คำนวณ'!$BK20:$CD20,8)),"*",""))="D","(D)","")))</f>
        <v/>
      </c>
      <c r="K21" s="25">
        <f>IF(OR('คำนวณ'!$B20=0,'คำนวณ'!$CE20=0),"",INDEX('ตารางเวร'!$A$10:$A$29,'คำนวณ'!$CE20)&amp;IF(AND(TRIM('ตารางเวร'!$B$5)&lt;&gt;"",UPPER(SUBSTITUTE(INDEX('คำนวณ'!$C20:$V20,'คำนวณ'!$CE20),"*",""))="D"),"(D)",""))</f>
        <v/>
      </c>
      <c r="L21" s="26">
        <f>IF('คำนวณ'!$B20=0,"",IF('คำนวณ'!$DB20=2,"",IF(SMALL('คำนวณ'!$CF20:$CY20,1)&gt;=999999999,"",INDEX('ตารางเวร'!$A$10:$A$29,MATCH(SMALL('คำนวณ'!$CF20:$CY20,1),'คำนวณ'!$CF20:$CY20,0))&amp;IF(AND(TRIM('ตารางเวร'!$B$5)&lt;&gt;"",UPPER(SUBSTITUTE(INDEX('คำนวณ'!$C20:$V20,MATCH(SMALL('คำนวณ'!$CF20:$CY20,1),'คำนวณ'!$CF20:$CY20,0)),"*",""))="D"),"(D)",""))))</f>
        <v/>
      </c>
      <c r="M21" s="27">
        <f>IF('คำนวณ'!$B20=0,"",IF('คำนวณ'!$DB20=2,IF(SMALL('คำนวณ'!$CF20:$CY20,1)&gt;=999999999,"",INDEX('ตารางเวร'!$A$10:$A$29,MATCH(SMALL('คำนวณ'!$CF20:$CY20,1),'คำนวณ'!$CF20:$CY20,0))&amp;IF(AND(TRIM('ตารางเวร'!$B$5)&lt;&gt;"",UPPER(SUBSTITUTE(INDEX('คำนวณ'!$C20:$V20,MATCH(SMALL('คำนวณ'!$CF20:$CY20,1),'คำนวณ'!$CF20:$CY20,0)),"*",""))="D"),"(D)","")),IF(SMALL('คำนวณ'!$CF20:$CY20,2)&gt;=999999999,"",INDEX('ตารางเวร'!$A$10:$A$29,MATCH(SMALL('คำนวณ'!$CF20:$CY20,2),'คำนวณ'!$CF20:$CY20,0))&amp;IF(AND(TRIM('ตารางเวร'!$B$5)&lt;&gt;"",UPPER(SUBSTITUTE(INDEX('คำนวณ'!$C20:$V20,MATCH(SMALL('คำนวณ'!$CF20:$CY20,2),'คำนวณ'!$CF20:$CY20,0)),"*",""))="D"),"(D)",""))))</f>
        <v/>
      </c>
      <c r="N21" s="28">
        <f>IF('คำนวณ'!$B20=0,"",IF('คำนวณ'!$DB20=2,IF(SMALL('คำนวณ'!$CF20:$CY20,2)&gt;=999999999,"",INDEX('ตารางเวร'!$A$10:$A$29,MATCH(SMALL('คำนวณ'!$CF20:$CY20,2),'คำนวณ'!$CF20:$CY20,0))&amp;IF(AND(TRIM('ตารางเวร'!$B$5)&lt;&gt;"",UPPER(SUBSTITUTE(INDEX('คำนวณ'!$C20:$V20,MATCH(SMALL('คำนวณ'!$CF20:$CY20,2),'คำนวณ'!$CF20:$CY20,0)),"*",""))="D"),"(D)","")),IF(SMALL('คำนวณ'!$CF20:$CY20,3)&gt;=999999999,"",INDEX('ตารางเวร'!$A$10:$A$29,MATCH(SMALL('คำนวณ'!$CF20:$CY20,3),'คำนวณ'!$CF20:$CY20,0))&amp;IF(AND(TRIM('ตารางเวร'!$B$5)&lt;&gt;"",UPPER(SUBSTITUTE(INDEX('คำนวณ'!$C20:$V20,MATCH(SMALL('คำนวณ'!$CF20:$CY20,3),'คำนวณ'!$CF20:$CY20,0)),"*",""))="D"),"(D)",""))))</f>
        <v/>
      </c>
      <c r="O21" s="29">
        <f>IF('คำนวณ'!$B20=0,"",TRIM(IF(SMALL('คำนวณ'!$CF20:$CY20,4)&gt;=999999999,"","  "&amp;INDEX('ตารางเวร'!$A$10:$A$29,MATCH(SMALL('คำนวณ'!$CF20:$CY20,4),'คำนวณ'!$CF20:$CY20,0))&amp;IF(AND(TRIM('ตารางเวร'!$B$5)&lt;&gt;"",UPPER(SUBSTITUTE(INDEX('คำนวณ'!$C20:$V20,MATCH(SMALL('คำนวณ'!$CF20:$CY20,4),'คำนวณ'!$CF20:$CY20,0)),"*",""))="D"),"(D)",""))&amp;IF(SMALL('คำนวณ'!$CF20:$CY20,5)&gt;=999999999,"","  "&amp;INDEX('ตารางเวร'!$A$10:$A$29,MATCH(SMALL('คำนวณ'!$CF20:$CY20,5),'คำนวณ'!$CF20:$CY20,0))&amp;IF(AND(TRIM('ตารางเวร'!$B$5)&lt;&gt;"",UPPER(SUBSTITUTE(INDEX('คำนวณ'!$C20:$V20,MATCH(SMALL('คำนวณ'!$CF20:$CY20,5),'คำนวณ'!$CF20:$CY20,0)),"*",""))="D"),"(D)",""))&amp;IF(SMALL('คำนวณ'!$CF20:$CY20,6)&gt;=999999999,"","  "&amp;INDEX('ตารางเวร'!$A$10:$A$29,MATCH(SMALL('คำนวณ'!$CF20:$CY20,6),'คำนวณ'!$CF20:$CY20,0))&amp;IF(AND(TRIM('ตารางเวร'!$B$5)&lt;&gt;"",UPPER(SUBSTITUTE(INDEX('คำนวณ'!$C20:$V20,MATCH(SMALL('คำนวณ'!$CF20:$CY20,6),'คำนวณ'!$CF20:$CY20,0)),"*",""))="D"),"(D)",""))&amp;IF(SMALL('คำนวณ'!$CF20:$CY20,7)&gt;=999999999,"","  "&amp;INDEX('ตารางเวร'!$A$10:$A$29,MATCH(SMALL('คำนวณ'!$CF20:$CY20,7),'คำนวณ'!$CF20:$CY20,0))&amp;IF(AND(TRIM('ตารางเวร'!$B$5)&lt;&gt;"",UPPER(SUBSTITUTE(INDEX('คำนวณ'!$C20:$V20,MATCH(SMALL('คำนวณ'!$CF20:$CY20,7),'คำนวณ'!$CF20:$CY20,0)),"*",""))="D"),"(D)",""))&amp;IF(SMALL('คำนวณ'!$BK20:$CD20,9)&gt;=999999,"","  "&amp;INDEX('ตารางเวร'!$A$10:$A$29,SMALL('คำนวณ'!$BK20:$CD20,9))&amp;IF(UPPER(SUBSTITUTE(INDEX('คำนวณ'!$C20:$V20,SMALL('คำนวณ'!$BK20:$CD20,9)),"*",""))="D","(D)",""))&amp;IF(SMALL('คำนวณ'!$BK20:$CD20,10)&gt;=999999,"","  "&amp;INDEX('ตารางเวร'!$A$10:$A$29,SMALL('คำนวณ'!$BK20:$CD20,10))&amp;IF(UPPER(SUBSTITUTE(INDEX('คำนวณ'!$C20:$V20,SMALL('คำนวณ'!$BK20:$CD20,10)),"*",""))="D","(D)",""))&amp;IF(SMALL('คำนวณ'!$BK20:$CD20,11)&gt;=999999,"","  "&amp;INDEX('ตารางเวร'!$A$10:$A$29,SMALL('คำนวณ'!$BK20:$CD20,11))&amp;IF(UPPER(SUBSTITUTE(INDEX('คำนวณ'!$C20:$V20,SMALL('คำนวณ'!$BK20:$CD20,11)),"*",""))="D","(D)",""))&amp;IF(SMALL('คำนวณ'!$BK20:$CD20,12)&gt;=999999,"","  "&amp;INDEX('ตารางเวร'!$A$10:$A$29,SMALL('คำนวณ'!$BK20:$CD20,12))&amp;IF(UPPER(SUBSTITUTE(INDEX('คำนวณ'!$C20:$V20,SMALL('คำนวณ'!$BK20:$CD20,12)),"*",""))="D","(D)",""))))</f>
        <v/>
      </c>
    </row>
    <row r="22">
      <c r="A22" s="15">
        <f>IF('คำนวณ'!$B21=0,"",'คำนวณ'!$A21)</f>
        <v/>
      </c>
      <c r="B22" s="15">
        <f>IF('คำนวณ'!$B21=0,"",'ตารางเวร'!U$9)</f>
        <v/>
      </c>
      <c r="C22" s="24">
        <f>IF('คำนวณ'!$B21=0,"",IF(SMALL('คำนวณ'!$BK21:$CD21,1)&gt;=999999,"",INDEX('ตารางเวร'!$A$10:$A$29,SMALL('คำนวณ'!$BK21:$CD21,1))&amp;IF(UPPER(SUBSTITUTE(INDEX('คำนวณ'!$C21:$V21,SMALL('คำนวณ'!$BK21:$CD21,1)),"*",""))="D","(D)","")))</f>
        <v/>
      </c>
      <c r="D22" s="24">
        <f>IF('คำนวณ'!$B21=0,"",IF(SMALL('คำนวณ'!$BK21:$CD21,2)&gt;=999999,"",INDEX('ตารางเวร'!$A$10:$A$29,SMALL('คำนวณ'!$BK21:$CD21,2))&amp;IF(UPPER(SUBSTITUTE(INDEX('คำนวณ'!$C21:$V21,SMALL('คำนวณ'!$BK21:$CD21,2)),"*",""))="D","(D)","")))</f>
        <v/>
      </c>
      <c r="E22" s="24">
        <f>IF('คำนวณ'!$B21=0,"",IF(SMALL('คำนวณ'!$BK21:$CD21,3)&gt;=999999,"",INDEX('ตารางเวร'!$A$10:$A$29,SMALL('คำนวณ'!$BK21:$CD21,3))&amp;IF(UPPER(SUBSTITUTE(INDEX('คำนวณ'!$C21:$V21,SMALL('คำนวณ'!$BK21:$CD21,3)),"*",""))="D","(D)","")))</f>
        <v/>
      </c>
      <c r="F22" s="24">
        <f>IF('คำนวณ'!$B21=0,"",IF(SMALL('คำนวณ'!$BK21:$CD21,4)&gt;=999999,"",INDEX('ตารางเวร'!$A$10:$A$29,SMALL('คำนวณ'!$BK21:$CD21,4))&amp;IF(UPPER(SUBSTITUTE(INDEX('คำนวณ'!$C21:$V21,SMALL('คำนวณ'!$BK21:$CD21,4)),"*",""))="D","(D)","")))</f>
        <v/>
      </c>
      <c r="G22" s="24">
        <f>IF('คำนวณ'!$B21=0,"",IF(SMALL('คำนวณ'!$BK21:$CD21,5)&gt;=999999,"",INDEX('ตารางเวร'!$A$10:$A$29,SMALL('คำนวณ'!$BK21:$CD21,5))&amp;IF(UPPER(SUBSTITUTE(INDEX('คำนวณ'!$C21:$V21,SMALL('คำนวณ'!$BK21:$CD21,5)),"*",""))="D","(D)","")))</f>
        <v/>
      </c>
      <c r="H22" s="24">
        <f>IF('คำนวณ'!$B21=0,"",IF(SMALL('คำนวณ'!$BK21:$CD21,6)&gt;=999999,"",INDEX('ตารางเวร'!$A$10:$A$29,SMALL('คำนวณ'!$BK21:$CD21,6))&amp;IF(UPPER(SUBSTITUTE(INDEX('คำนวณ'!$C21:$V21,SMALL('คำนวณ'!$BK21:$CD21,6)),"*",""))="D","(D)","")))</f>
        <v/>
      </c>
      <c r="I22" s="24">
        <f>IF('คำนวณ'!$B21=0,"",IF(SMALL('คำนวณ'!$BK21:$CD21,7)&gt;=999999,"",INDEX('ตารางเวร'!$A$10:$A$29,SMALL('คำนวณ'!$BK21:$CD21,7))&amp;IF(UPPER(SUBSTITUTE(INDEX('คำนวณ'!$C21:$V21,SMALL('คำนวณ'!$BK21:$CD21,7)),"*",""))="D","(D)","")))</f>
        <v/>
      </c>
      <c r="J22" s="24">
        <f>IF('คำนวณ'!$B21=0,"",IF(SMALL('คำนวณ'!$BK21:$CD21,8)&gt;=999999,"",INDEX('ตารางเวร'!$A$10:$A$29,SMALL('คำนวณ'!$BK21:$CD21,8))&amp;IF(UPPER(SUBSTITUTE(INDEX('คำนวณ'!$C21:$V21,SMALL('คำนวณ'!$BK21:$CD21,8)),"*",""))="D","(D)","")))</f>
        <v/>
      </c>
      <c r="K22" s="25">
        <f>IF(OR('คำนวณ'!$B21=0,'คำนวณ'!$CE21=0),"",INDEX('ตารางเวร'!$A$10:$A$29,'คำนวณ'!$CE21)&amp;IF(AND(TRIM('ตารางเวร'!$B$5)&lt;&gt;"",UPPER(SUBSTITUTE(INDEX('คำนวณ'!$C21:$V21,'คำนวณ'!$CE21),"*",""))="D"),"(D)",""))</f>
        <v/>
      </c>
      <c r="L22" s="26">
        <f>IF('คำนวณ'!$B21=0,"",IF('คำนวณ'!$DB21=2,"",IF(SMALL('คำนวณ'!$CF21:$CY21,1)&gt;=999999999,"",INDEX('ตารางเวร'!$A$10:$A$29,MATCH(SMALL('คำนวณ'!$CF21:$CY21,1),'คำนวณ'!$CF21:$CY21,0))&amp;IF(AND(TRIM('ตารางเวร'!$B$5)&lt;&gt;"",UPPER(SUBSTITUTE(INDEX('คำนวณ'!$C21:$V21,MATCH(SMALL('คำนวณ'!$CF21:$CY21,1),'คำนวณ'!$CF21:$CY21,0)),"*",""))="D"),"(D)",""))))</f>
        <v/>
      </c>
      <c r="M22" s="27">
        <f>IF('คำนวณ'!$B21=0,"",IF('คำนวณ'!$DB21=2,IF(SMALL('คำนวณ'!$CF21:$CY21,1)&gt;=999999999,"",INDEX('ตารางเวร'!$A$10:$A$29,MATCH(SMALL('คำนวณ'!$CF21:$CY21,1),'คำนวณ'!$CF21:$CY21,0))&amp;IF(AND(TRIM('ตารางเวร'!$B$5)&lt;&gt;"",UPPER(SUBSTITUTE(INDEX('คำนวณ'!$C21:$V21,MATCH(SMALL('คำนวณ'!$CF21:$CY21,1),'คำนวณ'!$CF21:$CY21,0)),"*",""))="D"),"(D)","")),IF(SMALL('คำนวณ'!$CF21:$CY21,2)&gt;=999999999,"",INDEX('ตารางเวร'!$A$10:$A$29,MATCH(SMALL('คำนวณ'!$CF21:$CY21,2),'คำนวณ'!$CF21:$CY21,0))&amp;IF(AND(TRIM('ตารางเวร'!$B$5)&lt;&gt;"",UPPER(SUBSTITUTE(INDEX('คำนวณ'!$C21:$V21,MATCH(SMALL('คำนวณ'!$CF21:$CY21,2),'คำนวณ'!$CF21:$CY21,0)),"*",""))="D"),"(D)",""))))</f>
        <v/>
      </c>
      <c r="N22" s="28">
        <f>IF('คำนวณ'!$B21=0,"",IF('คำนวณ'!$DB21=2,IF(SMALL('คำนวณ'!$CF21:$CY21,2)&gt;=999999999,"",INDEX('ตารางเวร'!$A$10:$A$29,MATCH(SMALL('คำนวณ'!$CF21:$CY21,2),'คำนวณ'!$CF21:$CY21,0))&amp;IF(AND(TRIM('ตารางเวร'!$B$5)&lt;&gt;"",UPPER(SUBSTITUTE(INDEX('คำนวณ'!$C21:$V21,MATCH(SMALL('คำนวณ'!$CF21:$CY21,2),'คำนวณ'!$CF21:$CY21,0)),"*",""))="D"),"(D)","")),IF(SMALL('คำนวณ'!$CF21:$CY21,3)&gt;=999999999,"",INDEX('ตารางเวร'!$A$10:$A$29,MATCH(SMALL('คำนวณ'!$CF21:$CY21,3),'คำนวณ'!$CF21:$CY21,0))&amp;IF(AND(TRIM('ตารางเวร'!$B$5)&lt;&gt;"",UPPER(SUBSTITUTE(INDEX('คำนวณ'!$C21:$V21,MATCH(SMALL('คำนวณ'!$CF21:$CY21,3),'คำนวณ'!$CF21:$CY21,0)),"*",""))="D"),"(D)",""))))</f>
        <v/>
      </c>
      <c r="O22" s="29">
        <f>IF('คำนวณ'!$B21=0,"",TRIM(IF(SMALL('คำนวณ'!$CF21:$CY21,4)&gt;=999999999,"","  "&amp;INDEX('ตารางเวร'!$A$10:$A$29,MATCH(SMALL('คำนวณ'!$CF21:$CY21,4),'คำนวณ'!$CF21:$CY21,0))&amp;IF(AND(TRIM('ตารางเวร'!$B$5)&lt;&gt;"",UPPER(SUBSTITUTE(INDEX('คำนวณ'!$C21:$V21,MATCH(SMALL('คำนวณ'!$CF21:$CY21,4),'คำนวณ'!$CF21:$CY21,0)),"*",""))="D"),"(D)",""))&amp;IF(SMALL('คำนวณ'!$CF21:$CY21,5)&gt;=999999999,"","  "&amp;INDEX('ตารางเวร'!$A$10:$A$29,MATCH(SMALL('คำนวณ'!$CF21:$CY21,5),'คำนวณ'!$CF21:$CY21,0))&amp;IF(AND(TRIM('ตารางเวร'!$B$5)&lt;&gt;"",UPPER(SUBSTITUTE(INDEX('คำนวณ'!$C21:$V21,MATCH(SMALL('คำนวณ'!$CF21:$CY21,5),'คำนวณ'!$CF21:$CY21,0)),"*",""))="D"),"(D)",""))&amp;IF(SMALL('คำนวณ'!$CF21:$CY21,6)&gt;=999999999,"","  "&amp;INDEX('ตารางเวร'!$A$10:$A$29,MATCH(SMALL('คำนวณ'!$CF21:$CY21,6),'คำนวณ'!$CF21:$CY21,0))&amp;IF(AND(TRIM('ตารางเวร'!$B$5)&lt;&gt;"",UPPER(SUBSTITUTE(INDEX('คำนวณ'!$C21:$V21,MATCH(SMALL('คำนวณ'!$CF21:$CY21,6),'คำนวณ'!$CF21:$CY21,0)),"*",""))="D"),"(D)",""))&amp;IF(SMALL('คำนวณ'!$CF21:$CY21,7)&gt;=999999999,"","  "&amp;INDEX('ตารางเวร'!$A$10:$A$29,MATCH(SMALL('คำนวณ'!$CF21:$CY21,7),'คำนวณ'!$CF21:$CY21,0))&amp;IF(AND(TRIM('ตารางเวร'!$B$5)&lt;&gt;"",UPPER(SUBSTITUTE(INDEX('คำนวณ'!$C21:$V21,MATCH(SMALL('คำนวณ'!$CF21:$CY21,7),'คำนวณ'!$CF21:$CY21,0)),"*",""))="D"),"(D)",""))&amp;IF(SMALL('คำนวณ'!$BK21:$CD21,9)&gt;=999999,"","  "&amp;INDEX('ตารางเวร'!$A$10:$A$29,SMALL('คำนวณ'!$BK21:$CD21,9))&amp;IF(UPPER(SUBSTITUTE(INDEX('คำนวณ'!$C21:$V21,SMALL('คำนวณ'!$BK21:$CD21,9)),"*",""))="D","(D)",""))&amp;IF(SMALL('คำนวณ'!$BK21:$CD21,10)&gt;=999999,"","  "&amp;INDEX('ตารางเวร'!$A$10:$A$29,SMALL('คำนวณ'!$BK21:$CD21,10))&amp;IF(UPPER(SUBSTITUTE(INDEX('คำนวณ'!$C21:$V21,SMALL('คำนวณ'!$BK21:$CD21,10)),"*",""))="D","(D)",""))&amp;IF(SMALL('คำนวณ'!$BK21:$CD21,11)&gt;=999999,"","  "&amp;INDEX('ตารางเวร'!$A$10:$A$29,SMALL('คำนวณ'!$BK21:$CD21,11))&amp;IF(UPPER(SUBSTITUTE(INDEX('คำนวณ'!$C21:$V21,SMALL('คำนวณ'!$BK21:$CD21,11)),"*",""))="D","(D)",""))&amp;IF(SMALL('คำนวณ'!$BK21:$CD21,12)&gt;=999999,"","  "&amp;INDEX('ตารางเวร'!$A$10:$A$29,SMALL('คำนวณ'!$BK21:$CD21,12))&amp;IF(UPPER(SUBSTITUTE(INDEX('คำนวณ'!$C21:$V21,SMALL('คำนวณ'!$BK21:$CD21,12)),"*",""))="D","(D)",""))))</f>
        <v/>
      </c>
    </row>
    <row r="23">
      <c r="A23" s="15">
        <f>IF('คำนวณ'!$B22=0,"",'คำนวณ'!$A22)</f>
        <v/>
      </c>
      <c r="B23" s="15">
        <f>IF('คำนวณ'!$B22=0,"",'ตารางเวร'!V$9)</f>
        <v/>
      </c>
      <c r="C23" s="24">
        <f>IF('คำนวณ'!$B22=0,"",IF(SMALL('คำนวณ'!$BK22:$CD22,1)&gt;=999999,"",INDEX('ตารางเวร'!$A$10:$A$29,SMALL('คำนวณ'!$BK22:$CD22,1))&amp;IF(UPPER(SUBSTITUTE(INDEX('คำนวณ'!$C22:$V22,SMALL('คำนวณ'!$BK22:$CD22,1)),"*",""))="D","(D)","")))</f>
        <v/>
      </c>
      <c r="D23" s="24">
        <f>IF('คำนวณ'!$B22=0,"",IF(SMALL('คำนวณ'!$BK22:$CD22,2)&gt;=999999,"",INDEX('ตารางเวร'!$A$10:$A$29,SMALL('คำนวณ'!$BK22:$CD22,2))&amp;IF(UPPER(SUBSTITUTE(INDEX('คำนวณ'!$C22:$V22,SMALL('คำนวณ'!$BK22:$CD22,2)),"*",""))="D","(D)","")))</f>
        <v/>
      </c>
      <c r="E23" s="24">
        <f>IF('คำนวณ'!$B22=0,"",IF(SMALL('คำนวณ'!$BK22:$CD22,3)&gt;=999999,"",INDEX('ตารางเวร'!$A$10:$A$29,SMALL('คำนวณ'!$BK22:$CD22,3))&amp;IF(UPPER(SUBSTITUTE(INDEX('คำนวณ'!$C22:$V22,SMALL('คำนวณ'!$BK22:$CD22,3)),"*",""))="D","(D)","")))</f>
        <v/>
      </c>
      <c r="F23" s="24">
        <f>IF('คำนวณ'!$B22=0,"",IF(SMALL('คำนวณ'!$BK22:$CD22,4)&gt;=999999,"",INDEX('ตารางเวร'!$A$10:$A$29,SMALL('คำนวณ'!$BK22:$CD22,4))&amp;IF(UPPER(SUBSTITUTE(INDEX('คำนวณ'!$C22:$V22,SMALL('คำนวณ'!$BK22:$CD22,4)),"*",""))="D","(D)","")))</f>
        <v/>
      </c>
      <c r="G23" s="24">
        <f>IF('คำนวณ'!$B22=0,"",IF(SMALL('คำนวณ'!$BK22:$CD22,5)&gt;=999999,"",INDEX('ตารางเวร'!$A$10:$A$29,SMALL('คำนวณ'!$BK22:$CD22,5))&amp;IF(UPPER(SUBSTITUTE(INDEX('คำนวณ'!$C22:$V22,SMALL('คำนวณ'!$BK22:$CD22,5)),"*",""))="D","(D)","")))</f>
        <v/>
      </c>
      <c r="H23" s="24">
        <f>IF('คำนวณ'!$B22=0,"",IF(SMALL('คำนวณ'!$BK22:$CD22,6)&gt;=999999,"",INDEX('ตารางเวร'!$A$10:$A$29,SMALL('คำนวณ'!$BK22:$CD22,6))&amp;IF(UPPER(SUBSTITUTE(INDEX('คำนวณ'!$C22:$V22,SMALL('คำนวณ'!$BK22:$CD22,6)),"*",""))="D","(D)","")))</f>
        <v/>
      </c>
      <c r="I23" s="24">
        <f>IF('คำนวณ'!$B22=0,"",IF(SMALL('คำนวณ'!$BK22:$CD22,7)&gt;=999999,"",INDEX('ตารางเวร'!$A$10:$A$29,SMALL('คำนวณ'!$BK22:$CD22,7))&amp;IF(UPPER(SUBSTITUTE(INDEX('คำนวณ'!$C22:$V22,SMALL('คำนวณ'!$BK22:$CD22,7)),"*",""))="D","(D)","")))</f>
        <v/>
      </c>
      <c r="J23" s="24">
        <f>IF('คำนวณ'!$B22=0,"",IF(SMALL('คำนวณ'!$BK22:$CD22,8)&gt;=999999,"",INDEX('ตารางเวร'!$A$10:$A$29,SMALL('คำนวณ'!$BK22:$CD22,8))&amp;IF(UPPER(SUBSTITUTE(INDEX('คำนวณ'!$C22:$V22,SMALL('คำนวณ'!$BK22:$CD22,8)),"*",""))="D","(D)","")))</f>
        <v/>
      </c>
      <c r="K23" s="25">
        <f>IF(OR('คำนวณ'!$B22=0,'คำนวณ'!$CE22=0),"",INDEX('ตารางเวร'!$A$10:$A$29,'คำนวณ'!$CE22)&amp;IF(AND(TRIM('ตารางเวร'!$B$5)&lt;&gt;"",UPPER(SUBSTITUTE(INDEX('คำนวณ'!$C22:$V22,'คำนวณ'!$CE22),"*",""))="D"),"(D)",""))</f>
        <v/>
      </c>
      <c r="L23" s="26">
        <f>IF('คำนวณ'!$B22=0,"",IF('คำนวณ'!$DB22=2,"",IF(SMALL('คำนวณ'!$CF22:$CY22,1)&gt;=999999999,"",INDEX('ตารางเวร'!$A$10:$A$29,MATCH(SMALL('คำนวณ'!$CF22:$CY22,1),'คำนวณ'!$CF22:$CY22,0))&amp;IF(AND(TRIM('ตารางเวร'!$B$5)&lt;&gt;"",UPPER(SUBSTITUTE(INDEX('คำนวณ'!$C22:$V22,MATCH(SMALL('คำนวณ'!$CF22:$CY22,1),'คำนวณ'!$CF22:$CY22,0)),"*",""))="D"),"(D)",""))))</f>
        <v/>
      </c>
      <c r="M23" s="27">
        <f>IF('คำนวณ'!$B22=0,"",IF('คำนวณ'!$DB22=2,IF(SMALL('คำนวณ'!$CF22:$CY22,1)&gt;=999999999,"",INDEX('ตารางเวร'!$A$10:$A$29,MATCH(SMALL('คำนวณ'!$CF22:$CY22,1),'คำนวณ'!$CF22:$CY22,0))&amp;IF(AND(TRIM('ตารางเวร'!$B$5)&lt;&gt;"",UPPER(SUBSTITUTE(INDEX('คำนวณ'!$C22:$V22,MATCH(SMALL('คำนวณ'!$CF22:$CY22,1),'คำนวณ'!$CF22:$CY22,0)),"*",""))="D"),"(D)","")),IF(SMALL('คำนวณ'!$CF22:$CY22,2)&gt;=999999999,"",INDEX('ตารางเวร'!$A$10:$A$29,MATCH(SMALL('คำนวณ'!$CF22:$CY22,2),'คำนวณ'!$CF22:$CY22,0))&amp;IF(AND(TRIM('ตารางเวร'!$B$5)&lt;&gt;"",UPPER(SUBSTITUTE(INDEX('คำนวณ'!$C22:$V22,MATCH(SMALL('คำนวณ'!$CF22:$CY22,2),'คำนวณ'!$CF22:$CY22,0)),"*",""))="D"),"(D)",""))))</f>
        <v/>
      </c>
      <c r="N23" s="28">
        <f>IF('คำนวณ'!$B22=0,"",IF('คำนวณ'!$DB22=2,IF(SMALL('คำนวณ'!$CF22:$CY22,2)&gt;=999999999,"",INDEX('ตารางเวร'!$A$10:$A$29,MATCH(SMALL('คำนวณ'!$CF22:$CY22,2),'คำนวณ'!$CF22:$CY22,0))&amp;IF(AND(TRIM('ตารางเวร'!$B$5)&lt;&gt;"",UPPER(SUBSTITUTE(INDEX('คำนวณ'!$C22:$V22,MATCH(SMALL('คำนวณ'!$CF22:$CY22,2),'คำนวณ'!$CF22:$CY22,0)),"*",""))="D"),"(D)","")),IF(SMALL('คำนวณ'!$CF22:$CY22,3)&gt;=999999999,"",INDEX('ตารางเวร'!$A$10:$A$29,MATCH(SMALL('คำนวณ'!$CF22:$CY22,3),'คำนวณ'!$CF22:$CY22,0))&amp;IF(AND(TRIM('ตารางเวร'!$B$5)&lt;&gt;"",UPPER(SUBSTITUTE(INDEX('คำนวณ'!$C22:$V22,MATCH(SMALL('คำนวณ'!$CF22:$CY22,3),'คำนวณ'!$CF22:$CY22,0)),"*",""))="D"),"(D)",""))))</f>
        <v/>
      </c>
      <c r="O23" s="29">
        <f>IF('คำนวณ'!$B22=0,"",TRIM(IF(SMALL('คำนวณ'!$CF22:$CY22,4)&gt;=999999999,"","  "&amp;INDEX('ตารางเวร'!$A$10:$A$29,MATCH(SMALL('คำนวณ'!$CF22:$CY22,4),'คำนวณ'!$CF22:$CY22,0))&amp;IF(AND(TRIM('ตารางเวร'!$B$5)&lt;&gt;"",UPPER(SUBSTITUTE(INDEX('คำนวณ'!$C22:$V22,MATCH(SMALL('คำนวณ'!$CF22:$CY22,4),'คำนวณ'!$CF22:$CY22,0)),"*",""))="D"),"(D)",""))&amp;IF(SMALL('คำนวณ'!$CF22:$CY22,5)&gt;=999999999,"","  "&amp;INDEX('ตารางเวร'!$A$10:$A$29,MATCH(SMALL('คำนวณ'!$CF22:$CY22,5),'คำนวณ'!$CF22:$CY22,0))&amp;IF(AND(TRIM('ตารางเวร'!$B$5)&lt;&gt;"",UPPER(SUBSTITUTE(INDEX('คำนวณ'!$C22:$V22,MATCH(SMALL('คำนวณ'!$CF22:$CY22,5),'คำนวณ'!$CF22:$CY22,0)),"*",""))="D"),"(D)",""))&amp;IF(SMALL('คำนวณ'!$CF22:$CY22,6)&gt;=999999999,"","  "&amp;INDEX('ตารางเวร'!$A$10:$A$29,MATCH(SMALL('คำนวณ'!$CF22:$CY22,6),'คำนวณ'!$CF22:$CY22,0))&amp;IF(AND(TRIM('ตารางเวร'!$B$5)&lt;&gt;"",UPPER(SUBSTITUTE(INDEX('คำนวณ'!$C22:$V22,MATCH(SMALL('คำนวณ'!$CF22:$CY22,6),'คำนวณ'!$CF22:$CY22,0)),"*",""))="D"),"(D)",""))&amp;IF(SMALL('คำนวณ'!$CF22:$CY22,7)&gt;=999999999,"","  "&amp;INDEX('ตารางเวร'!$A$10:$A$29,MATCH(SMALL('คำนวณ'!$CF22:$CY22,7),'คำนวณ'!$CF22:$CY22,0))&amp;IF(AND(TRIM('ตารางเวร'!$B$5)&lt;&gt;"",UPPER(SUBSTITUTE(INDEX('คำนวณ'!$C22:$V22,MATCH(SMALL('คำนวณ'!$CF22:$CY22,7),'คำนวณ'!$CF22:$CY22,0)),"*",""))="D"),"(D)",""))&amp;IF(SMALL('คำนวณ'!$BK22:$CD22,9)&gt;=999999,"","  "&amp;INDEX('ตารางเวร'!$A$10:$A$29,SMALL('คำนวณ'!$BK22:$CD22,9))&amp;IF(UPPER(SUBSTITUTE(INDEX('คำนวณ'!$C22:$V22,SMALL('คำนวณ'!$BK22:$CD22,9)),"*",""))="D","(D)",""))&amp;IF(SMALL('คำนวณ'!$BK22:$CD22,10)&gt;=999999,"","  "&amp;INDEX('ตารางเวร'!$A$10:$A$29,SMALL('คำนวณ'!$BK22:$CD22,10))&amp;IF(UPPER(SUBSTITUTE(INDEX('คำนวณ'!$C22:$V22,SMALL('คำนวณ'!$BK22:$CD22,10)),"*",""))="D","(D)",""))&amp;IF(SMALL('คำนวณ'!$BK22:$CD22,11)&gt;=999999,"","  "&amp;INDEX('ตารางเวร'!$A$10:$A$29,SMALL('คำนวณ'!$BK22:$CD22,11))&amp;IF(UPPER(SUBSTITUTE(INDEX('คำนวณ'!$C22:$V22,SMALL('คำนวณ'!$BK22:$CD22,11)),"*",""))="D","(D)",""))&amp;IF(SMALL('คำนวณ'!$BK22:$CD22,12)&gt;=999999,"","  "&amp;INDEX('ตารางเวร'!$A$10:$A$29,SMALL('คำนวณ'!$BK22:$CD22,12))&amp;IF(UPPER(SUBSTITUTE(INDEX('คำนวณ'!$C22:$V22,SMALL('คำนวณ'!$BK22:$CD22,12)),"*",""))="D","(D)",""))))</f>
        <v/>
      </c>
    </row>
    <row r="24">
      <c r="A24" s="15">
        <f>IF('คำนวณ'!$B23=0,"",'คำนวณ'!$A23)</f>
        <v/>
      </c>
      <c r="B24" s="15">
        <f>IF('คำนวณ'!$B23=0,"",'ตารางเวร'!W$9)</f>
        <v/>
      </c>
      <c r="C24" s="24">
        <f>IF('คำนวณ'!$B23=0,"",IF(SMALL('คำนวณ'!$BK23:$CD23,1)&gt;=999999,"",INDEX('ตารางเวร'!$A$10:$A$29,SMALL('คำนวณ'!$BK23:$CD23,1))&amp;IF(UPPER(SUBSTITUTE(INDEX('คำนวณ'!$C23:$V23,SMALL('คำนวณ'!$BK23:$CD23,1)),"*",""))="D","(D)","")))</f>
        <v/>
      </c>
      <c r="D24" s="24">
        <f>IF('คำนวณ'!$B23=0,"",IF(SMALL('คำนวณ'!$BK23:$CD23,2)&gt;=999999,"",INDEX('ตารางเวร'!$A$10:$A$29,SMALL('คำนวณ'!$BK23:$CD23,2))&amp;IF(UPPER(SUBSTITUTE(INDEX('คำนวณ'!$C23:$V23,SMALL('คำนวณ'!$BK23:$CD23,2)),"*",""))="D","(D)","")))</f>
        <v/>
      </c>
      <c r="E24" s="24">
        <f>IF('คำนวณ'!$B23=0,"",IF(SMALL('คำนวณ'!$BK23:$CD23,3)&gt;=999999,"",INDEX('ตารางเวร'!$A$10:$A$29,SMALL('คำนวณ'!$BK23:$CD23,3))&amp;IF(UPPER(SUBSTITUTE(INDEX('คำนวณ'!$C23:$V23,SMALL('คำนวณ'!$BK23:$CD23,3)),"*",""))="D","(D)","")))</f>
        <v/>
      </c>
      <c r="F24" s="24">
        <f>IF('คำนวณ'!$B23=0,"",IF(SMALL('คำนวณ'!$BK23:$CD23,4)&gt;=999999,"",INDEX('ตารางเวร'!$A$10:$A$29,SMALL('คำนวณ'!$BK23:$CD23,4))&amp;IF(UPPER(SUBSTITUTE(INDEX('คำนวณ'!$C23:$V23,SMALL('คำนวณ'!$BK23:$CD23,4)),"*",""))="D","(D)","")))</f>
        <v/>
      </c>
      <c r="G24" s="24">
        <f>IF('คำนวณ'!$B23=0,"",IF(SMALL('คำนวณ'!$BK23:$CD23,5)&gt;=999999,"",INDEX('ตารางเวร'!$A$10:$A$29,SMALL('คำนวณ'!$BK23:$CD23,5))&amp;IF(UPPER(SUBSTITUTE(INDEX('คำนวณ'!$C23:$V23,SMALL('คำนวณ'!$BK23:$CD23,5)),"*",""))="D","(D)","")))</f>
        <v/>
      </c>
      <c r="H24" s="24">
        <f>IF('คำนวณ'!$B23=0,"",IF(SMALL('คำนวณ'!$BK23:$CD23,6)&gt;=999999,"",INDEX('ตารางเวร'!$A$10:$A$29,SMALL('คำนวณ'!$BK23:$CD23,6))&amp;IF(UPPER(SUBSTITUTE(INDEX('คำนวณ'!$C23:$V23,SMALL('คำนวณ'!$BK23:$CD23,6)),"*",""))="D","(D)","")))</f>
        <v/>
      </c>
      <c r="I24" s="24">
        <f>IF('คำนวณ'!$B23=0,"",IF(SMALL('คำนวณ'!$BK23:$CD23,7)&gt;=999999,"",INDEX('ตารางเวร'!$A$10:$A$29,SMALL('คำนวณ'!$BK23:$CD23,7))&amp;IF(UPPER(SUBSTITUTE(INDEX('คำนวณ'!$C23:$V23,SMALL('คำนวณ'!$BK23:$CD23,7)),"*",""))="D","(D)","")))</f>
        <v/>
      </c>
      <c r="J24" s="24">
        <f>IF('คำนวณ'!$B23=0,"",IF(SMALL('คำนวณ'!$BK23:$CD23,8)&gt;=999999,"",INDEX('ตารางเวร'!$A$10:$A$29,SMALL('คำนวณ'!$BK23:$CD23,8))&amp;IF(UPPER(SUBSTITUTE(INDEX('คำนวณ'!$C23:$V23,SMALL('คำนวณ'!$BK23:$CD23,8)),"*",""))="D","(D)","")))</f>
        <v/>
      </c>
      <c r="K24" s="25">
        <f>IF(OR('คำนวณ'!$B23=0,'คำนวณ'!$CE23=0),"",INDEX('ตารางเวร'!$A$10:$A$29,'คำนวณ'!$CE23)&amp;IF(AND(TRIM('ตารางเวร'!$B$5)&lt;&gt;"",UPPER(SUBSTITUTE(INDEX('คำนวณ'!$C23:$V23,'คำนวณ'!$CE23),"*",""))="D"),"(D)",""))</f>
        <v/>
      </c>
      <c r="L24" s="26">
        <f>IF('คำนวณ'!$B23=0,"",IF('คำนวณ'!$DB23=2,"",IF(SMALL('คำนวณ'!$CF23:$CY23,1)&gt;=999999999,"",INDEX('ตารางเวร'!$A$10:$A$29,MATCH(SMALL('คำนวณ'!$CF23:$CY23,1),'คำนวณ'!$CF23:$CY23,0))&amp;IF(AND(TRIM('ตารางเวร'!$B$5)&lt;&gt;"",UPPER(SUBSTITUTE(INDEX('คำนวณ'!$C23:$V23,MATCH(SMALL('คำนวณ'!$CF23:$CY23,1),'คำนวณ'!$CF23:$CY23,0)),"*",""))="D"),"(D)",""))))</f>
        <v/>
      </c>
      <c r="M24" s="27">
        <f>IF('คำนวณ'!$B23=0,"",IF('คำนวณ'!$DB23=2,IF(SMALL('คำนวณ'!$CF23:$CY23,1)&gt;=999999999,"",INDEX('ตารางเวร'!$A$10:$A$29,MATCH(SMALL('คำนวณ'!$CF23:$CY23,1),'คำนวณ'!$CF23:$CY23,0))&amp;IF(AND(TRIM('ตารางเวร'!$B$5)&lt;&gt;"",UPPER(SUBSTITUTE(INDEX('คำนวณ'!$C23:$V23,MATCH(SMALL('คำนวณ'!$CF23:$CY23,1),'คำนวณ'!$CF23:$CY23,0)),"*",""))="D"),"(D)","")),IF(SMALL('คำนวณ'!$CF23:$CY23,2)&gt;=999999999,"",INDEX('ตารางเวร'!$A$10:$A$29,MATCH(SMALL('คำนวณ'!$CF23:$CY23,2),'คำนวณ'!$CF23:$CY23,0))&amp;IF(AND(TRIM('ตารางเวร'!$B$5)&lt;&gt;"",UPPER(SUBSTITUTE(INDEX('คำนวณ'!$C23:$V23,MATCH(SMALL('คำนวณ'!$CF23:$CY23,2),'คำนวณ'!$CF23:$CY23,0)),"*",""))="D"),"(D)",""))))</f>
        <v/>
      </c>
      <c r="N24" s="28">
        <f>IF('คำนวณ'!$B23=0,"",IF('คำนวณ'!$DB23=2,IF(SMALL('คำนวณ'!$CF23:$CY23,2)&gt;=999999999,"",INDEX('ตารางเวร'!$A$10:$A$29,MATCH(SMALL('คำนวณ'!$CF23:$CY23,2),'คำนวณ'!$CF23:$CY23,0))&amp;IF(AND(TRIM('ตารางเวร'!$B$5)&lt;&gt;"",UPPER(SUBSTITUTE(INDEX('คำนวณ'!$C23:$V23,MATCH(SMALL('คำนวณ'!$CF23:$CY23,2),'คำนวณ'!$CF23:$CY23,0)),"*",""))="D"),"(D)","")),IF(SMALL('คำนวณ'!$CF23:$CY23,3)&gt;=999999999,"",INDEX('ตารางเวร'!$A$10:$A$29,MATCH(SMALL('คำนวณ'!$CF23:$CY23,3),'คำนวณ'!$CF23:$CY23,0))&amp;IF(AND(TRIM('ตารางเวร'!$B$5)&lt;&gt;"",UPPER(SUBSTITUTE(INDEX('คำนวณ'!$C23:$V23,MATCH(SMALL('คำนวณ'!$CF23:$CY23,3),'คำนวณ'!$CF23:$CY23,0)),"*",""))="D"),"(D)",""))))</f>
        <v/>
      </c>
      <c r="O24" s="29">
        <f>IF('คำนวณ'!$B23=0,"",TRIM(IF(SMALL('คำนวณ'!$CF23:$CY23,4)&gt;=999999999,"","  "&amp;INDEX('ตารางเวร'!$A$10:$A$29,MATCH(SMALL('คำนวณ'!$CF23:$CY23,4),'คำนวณ'!$CF23:$CY23,0))&amp;IF(AND(TRIM('ตารางเวร'!$B$5)&lt;&gt;"",UPPER(SUBSTITUTE(INDEX('คำนวณ'!$C23:$V23,MATCH(SMALL('คำนวณ'!$CF23:$CY23,4),'คำนวณ'!$CF23:$CY23,0)),"*",""))="D"),"(D)",""))&amp;IF(SMALL('คำนวณ'!$CF23:$CY23,5)&gt;=999999999,"","  "&amp;INDEX('ตารางเวร'!$A$10:$A$29,MATCH(SMALL('คำนวณ'!$CF23:$CY23,5),'คำนวณ'!$CF23:$CY23,0))&amp;IF(AND(TRIM('ตารางเวร'!$B$5)&lt;&gt;"",UPPER(SUBSTITUTE(INDEX('คำนวณ'!$C23:$V23,MATCH(SMALL('คำนวณ'!$CF23:$CY23,5),'คำนวณ'!$CF23:$CY23,0)),"*",""))="D"),"(D)",""))&amp;IF(SMALL('คำนวณ'!$CF23:$CY23,6)&gt;=999999999,"","  "&amp;INDEX('ตารางเวร'!$A$10:$A$29,MATCH(SMALL('คำนวณ'!$CF23:$CY23,6),'คำนวณ'!$CF23:$CY23,0))&amp;IF(AND(TRIM('ตารางเวร'!$B$5)&lt;&gt;"",UPPER(SUBSTITUTE(INDEX('คำนวณ'!$C23:$V23,MATCH(SMALL('คำนวณ'!$CF23:$CY23,6),'คำนวณ'!$CF23:$CY23,0)),"*",""))="D"),"(D)",""))&amp;IF(SMALL('คำนวณ'!$CF23:$CY23,7)&gt;=999999999,"","  "&amp;INDEX('ตารางเวร'!$A$10:$A$29,MATCH(SMALL('คำนวณ'!$CF23:$CY23,7),'คำนวณ'!$CF23:$CY23,0))&amp;IF(AND(TRIM('ตารางเวร'!$B$5)&lt;&gt;"",UPPER(SUBSTITUTE(INDEX('คำนวณ'!$C23:$V23,MATCH(SMALL('คำนวณ'!$CF23:$CY23,7),'คำนวณ'!$CF23:$CY23,0)),"*",""))="D"),"(D)",""))&amp;IF(SMALL('คำนวณ'!$BK23:$CD23,9)&gt;=999999,"","  "&amp;INDEX('ตารางเวร'!$A$10:$A$29,SMALL('คำนวณ'!$BK23:$CD23,9))&amp;IF(UPPER(SUBSTITUTE(INDEX('คำนวณ'!$C23:$V23,SMALL('คำนวณ'!$BK23:$CD23,9)),"*",""))="D","(D)",""))&amp;IF(SMALL('คำนวณ'!$BK23:$CD23,10)&gt;=999999,"","  "&amp;INDEX('ตารางเวร'!$A$10:$A$29,SMALL('คำนวณ'!$BK23:$CD23,10))&amp;IF(UPPER(SUBSTITUTE(INDEX('คำนวณ'!$C23:$V23,SMALL('คำนวณ'!$BK23:$CD23,10)),"*",""))="D","(D)",""))&amp;IF(SMALL('คำนวณ'!$BK23:$CD23,11)&gt;=999999,"","  "&amp;INDEX('ตารางเวร'!$A$10:$A$29,SMALL('คำนวณ'!$BK23:$CD23,11))&amp;IF(UPPER(SUBSTITUTE(INDEX('คำนวณ'!$C23:$V23,SMALL('คำนวณ'!$BK23:$CD23,11)),"*",""))="D","(D)",""))&amp;IF(SMALL('คำนวณ'!$BK23:$CD23,12)&gt;=999999,"","  "&amp;INDEX('ตารางเวร'!$A$10:$A$29,SMALL('คำนวณ'!$BK23:$CD23,12))&amp;IF(UPPER(SUBSTITUTE(INDEX('คำนวณ'!$C23:$V23,SMALL('คำนวณ'!$BK23:$CD23,12)),"*",""))="D","(D)",""))))</f>
        <v/>
      </c>
    </row>
    <row r="25">
      <c r="A25" s="15">
        <f>IF('คำนวณ'!$B24=0,"",'คำนวณ'!$A24)</f>
        <v/>
      </c>
      <c r="B25" s="15">
        <f>IF('คำนวณ'!$B24=0,"",'ตารางเวร'!X$9)</f>
        <v/>
      </c>
      <c r="C25" s="24">
        <f>IF('คำนวณ'!$B24=0,"",IF(SMALL('คำนวณ'!$BK24:$CD24,1)&gt;=999999,"",INDEX('ตารางเวร'!$A$10:$A$29,SMALL('คำนวณ'!$BK24:$CD24,1))&amp;IF(UPPER(SUBSTITUTE(INDEX('คำนวณ'!$C24:$V24,SMALL('คำนวณ'!$BK24:$CD24,1)),"*",""))="D","(D)","")))</f>
        <v/>
      </c>
      <c r="D25" s="24">
        <f>IF('คำนวณ'!$B24=0,"",IF(SMALL('คำนวณ'!$BK24:$CD24,2)&gt;=999999,"",INDEX('ตารางเวร'!$A$10:$A$29,SMALL('คำนวณ'!$BK24:$CD24,2))&amp;IF(UPPER(SUBSTITUTE(INDEX('คำนวณ'!$C24:$V24,SMALL('คำนวณ'!$BK24:$CD24,2)),"*",""))="D","(D)","")))</f>
        <v/>
      </c>
      <c r="E25" s="24">
        <f>IF('คำนวณ'!$B24=0,"",IF(SMALL('คำนวณ'!$BK24:$CD24,3)&gt;=999999,"",INDEX('ตารางเวร'!$A$10:$A$29,SMALL('คำนวณ'!$BK24:$CD24,3))&amp;IF(UPPER(SUBSTITUTE(INDEX('คำนวณ'!$C24:$V24,SMALL('คำนวณ'!$BK24:$CD24,3)),"*",""))="D","(D)","")))</f>
        <v/>
      </c>
      <c r="F25" s="24">
        <f>IF('คำนวณ'!$B24=0,"",IF(SMALL('คำนวณ'!$BK24:$CD24,4)&gt;=999999,"",INDEX('ตารางเวร'!$A$10:$A$29,SMALL('คำนวณ'!$BK24:$CD24,4))&amp;IF(UPPER(SUBSTITUTE(INDEX('คำนวณ'!$C24:$V24,SMALL('คำนวณ'!$BK24:$CD24,4)),"*",""))="D","(D)","")))</f>
        <v/>
      </c>
      <c r="G25" s="24">
        <f>IF('คำนวณ'!$B24=0,"",IF(SMALL('คำนวณ'!$BK24:$CD24,5)&gt;=999999,"",INDEX('ตารางเวร'!$A$10:$A$29,SMALL('คำนวณ'!$BK24:$CD24,5))&amp;IF(UPPER(SUBSTITUTE(INDEX('คำนวณ'!$C24:$V24,SMALL('คำนวณ'!$BK24:$CD24,5)),"*",""))="D","(D)","")))</f>
        <v/>
      </c>
      <c r="H25" s="24">
        <f>IF('คำนวณ'!$B24=0,"",IF(SMALL('คำนวณ'!$BK24:$CD24,6)&gt;=999999,"",INDEX('ตารางเวร'!$A$10:$A$29,SMALL('คำนวณ'!$BK24:$CD24,6))&amp;IF(UPPER(SUBSTITUTE(INDEX('คำนวณ'!$C24:$V24,SMALL('คำนวณ'!$BK24:$CD24,6)),"*",""))="D","(D)","")))</f>
        <v/>
      </c>
      <c r="I25" s="24">
        <f>IF('คำนวณ'!$B24=0,"",IF(SMALL('คำนวณ'!$BK24:$CD24,7)&gt;=999999,"",INDEX('ตารางเวร'!$A$10:$A$29,SMALL('คำนวณ'!$BK24:$CD24,7))&amp;IF(UPPER(SUBSTITUTE(INDEX('คำนวณ'!$C24:$V24,SMALL('คำนวณ'!$BK24:$CD24,7)),"*",""))="D","(D)","")))</f>
        <v/>
      </c>
      <c r="J25" s="24">
        <f>IF('คำนวณ'!$B24=0,"",IF(SMALL('คำนวณ'!$BK24:$CD24,8)&gt;=999999,"",INDEX('ตารางเวร'!$A$10:$A$29,SMALL('คำนวณ'!$BK24:$CD24,8))&amp;IF(UPPER(SUBSTITUTE(INDEX('คำนวณ'!$C24:$V24,SMALL('คำนวณ'!$BK24:$CD24,8)),"*",""))="D","(D)","")))</f>
        <v/>
      </c>
      <c r="K25" s="25">
        <f>IF(OR('คำนวณ'!$B24=0,'คำนวณ'!$CE24=0),"",INDEX('ตารางเวร'!$A$10:$A$29,'คำนวณ'!$CE24)&amp;IF(AND(TRIM('ตารางเวร'!$B$5)&lt;&gt;"",UPPER(SUBSTITUTE(INDEX('คำนวณ'!$C24:$V24,'คำนวณ'!$CE24),"*",""))="D"),"(D)",""))</f>
        <v/>
      </c>
      <c r="L25" s="26">
        <f>IF('คำนวณ'!$B24=0,"",IF('คำนวณ'!$DB24=2,"",IF(SMALL('คำนวณ'!$CF24:$CY24,1)&gt;=999999999,"",INDEX('ตารางเวร'!$A$10:$A$29,MATCH(SMALL('คำนวณ'!$CF24:$CY24,1),'คำนวณ'!$CF24:$CY24,0))&amp;IF(AND(TRIM('ตารางเวร'!$B$5)&lt;&gt;"",UPPER(SUBSTITUTE(INDEX('คำนวณ'!$C24:$V24,MATCH(SMALL('คำนวณ'!$CF24:$CY24,1),'คำนวณ'!$CF24:$CY24,0)),"*",""))="D"),"(D)",""))))</f>
        <v/>
      </c>
      <c r="M25" s="27">
        <f>IF('คำนวณ'!$B24=0,"",IF('คำนวณ'!$DB24=2,IF(SMALL('คำนวณ'!$CF24:$CY24,1)&gt;=999999999,"",INDEX('ตารางเวร'!$A$10:$A$29,MATCH(SMALL('คำนวณ'!$CF24:$CY24,1),'คำนวณ'!$CF24:$CY24,0))&amp;IF(AND(TRIM('ตารางเวร'!$B$5)&lt;&gt;"",UPPER(SUBSTITUTE(INDEX('คำนวณ'!$C24:$V24,MATCH(SMALL('คำนวณ'!$CF24:$CY24,1),'คำนวณ'!$CF24:$CY24,0)),"*",""))="D"),"(D)","")),IF(SMALL('คำนวณ'!$CF24:$CY24,2)&gt;=999999999,"",INDEX('ตารางเวร'!$A$10:$A$29,MATCH(SMALL('คำนวณ'!$CF24:$CY24,2),'คำนวณ'!$CF24:$CY24,0))&amp;IF(AND(TRIM('ตารางเวร'!$B$5)&lt;&gt;"",UPPER(SUBSTITUTE(INDEX('คำนวณ'!$C24:$V24,MATCH(SMALL('คำนวณ'!$CF24:$CY24,2),'คำนวณ'!$CF24:$CY24,0)),"*",""))="D"),"(D)",""))))</f>
        <v/>
      </c>
      <c r="N25" s="28">
        <f>IF('คำนวณ'!$B24=0,"",IF('คำนวณ'!$DB24=2,IF(SMALL('คำนวณ'!$CF24:$CY24,2)&gt;=999999999,"",INDEX('ตารางเวร'!$A$10:$A$29,MATCH(SMALL('คำนวณ'!$CF24:$CY24,2),'คำนวณ'!$CF24:$CY24,0))&amp;IF(AND(TRIM('ตารางเวร'!$B$5)&lt;&gt;"",UPPER(SUBSTITUTE(INDEX('คำนวณ'!$C24:$V24,MATCH(SMALL('คำนวณ'!$CF24:$CY24,2),'คำนวณ'!$CF24:$CY24,0)),"*",""))="D"),"(D)","")),IF(SMALL('คำนวณ'!$CF24:$CY24,3)&gt;=999999999,"",INDEX('ตารางเวร'!$A$10:$A$29,MATCH(SMALL('คำนวณ'!$CF24:$CY24,3),'คำนวณ'!$CF24:$CY24,0))&amp;IF(AND(TRIM('ตารางเวร'!$B$5)&lt;&gt;"",UPPER(SUBSTITUTE(INDEX('คำนวณ'!$C24:$V24,MATCH(SMALL('คำนวณ'!$CF24:$CY24,3),'คำนวณ'!$CF24:$CY24,0)),"*",""))="D"),"(D)",""))))</f>
        <v/>
      </c>
      <c r="O25" s="29">
        <f>IF('คำนวณ'!$B24=0,"",TRIM(IF(SMALL('คำนวณ'!$CF24:$CY24,4)&gt;=999999999,"","  "&amp;INDEX('ตารางเวร'!$A$10:$A$29,MATCH(SMALL('คำนวณ'!$CF24:$CY24,4),'คำนวณ'!$CF24:$CY24,0))&amp;IF(AND(TRIM('ตารางเวร'!$B$5)&lt;&gt;"",UPPER(SUBSTITUTE(INDEX('คำนวณ'!$C24:$V24,MATCH(SMALL('คำนวณ'!$CF24:$CY24,4),'คำนวณ'!$CF24:$CY24,0)),"*",""))="D"),"(D)",""))&amp;IF(SMALL('คำนวณ'!$CF24:$CY24,5)&gt;=999999999,"","  "&amp;INDEX('ตารางเวร'!$A$10:$A$29,MATCH(SMALL('คำนวณ'!$CF24:$CY24,5),'คำนวณ'!$CF24:$CY24,0))&amp;IF(AND(TRIM('ตารางเวร'!$B$5)&lt;&gt;"",UPPER(SUBSTITUTE(INDEX('คำนวณ'!$C24:$V24,MATCH(SMALL('คำนวณ'!$CF24:$CY24,5),'คำนวณ'!$CF24:$CY24,0)),"*",""))="D"),"(D)",""))&amp;IF(SMALL('คำนวณ'!$CF24:$CY24,6)&gt;=999999999,"","  "&amp;INDEX('ตารางเวร'!$A$10:$A$29,MATCH(SMALL('คำนวณ'!$CF24:$CY24,6),'คำนวณ'!$CF24:$CY24,0))&amp;IF(AND(TRIM('ตารางเวร'!$B$5)&lt;&gt;"",UPPER(SUBSTITUTE(INDEX('คำนวณ'!$C24:$V24,MATCH(SMALL('คำนวณ'!$CF24:$CY24,6),'คำนวณ'!$CF24:$CY24,0)),"*",""))="D"),"(D)",""))&amp;IF(SMALL('คำนวณ'!$CF24:$CY24,7)&gt;=999999999,"","  "&amp;INDEX('ตารางเวร'!$A$10:$A$29,MATCH(SMALL('คำนวณ'!$CF24:$CY24,7),'คำนวณ'!$CF24:$CY24,0))&amp;IF(AND(TRIM('ตารางเวร'!$B$5)&lt;&gt;"",UPPER(SUBSTITUTE(INDEX('คำนวณ'!$C24:$V24,MATCH(SMALL('คำนวณ'!$CF24:$CY24,7),'คำนวณ'!$CF24:$CY24,0)),"*",""))="D"),"(D)",""))&amp;IF(SMALL('คำนวณ'!$BK24:$CD24,9)&gt;=999999,"","  "&amp;INDEX('ตารางเวร'!$A$10:$A$29,SMALL('คำนวณ'!$BK24:$CD24,9))&amp;IF(UPPER(SUBSTITUTE(INDEX('คำนวณ'!$C24:$V24,SMALL('คำนวณ'!$BK24:$CD24,9)),"*",""))="D","(D)",""))&amp;IF(SMALL('คำนวณ'!$BK24:$CD24,10)&gt;=999999,"","  "&amp;INDEX('ตารางเวร'!$A$10:$A$29,SMALL('คำนวณ'!$BK24:$CD24,10))&amp;IF(UPPER(SUBSTITUTE(INDEX('คำนวณ'!$C24:$V24,SMALL('คำนวณ'!$BK24:$CD24,10)),"*",""))="D","(D)",""))&amp;IF(SMALL('คำนวณ'!$BK24:$CD24,11)&gt;=999999,"","  "&amp;INDEX('ตารางเวร'!$A$10:$A$29,SMALL('คำนวณ'!$BK24:$CD24,11))&amp;IF(UPPER(SUBSTITUTE(INDEX('คำนวณ'!$C24:$V24,SMALL('คำนวณ'!$BK24:$CD24,11)),"*",""))="D","(D)",""))&amp;IF(SMALL('คำนวณ'!$BK24:$CD24,12)&gt;=999999,"","  "&amp;INDEX('ตารางเวร'!$A$10:$A$29,SMALL('คำนวณ'!$BK24:$CD24,12))&amp;IF(UPPER(SUBSTITUTE(INDEX('คำนวณ'!$C24:$V24,SMALL('คำนวณ'!$BK24:$CD24,12)),"*",""))="D","(D)",""))))</f>
        <v/>
      </c>
    </row>
    <row r="26">
      <c r="A26" s="15">
        <f>IF('คำนวณ'!$B25=0,"",'คำนวณ'!$A25)</f>
        <v/>
      </c>
      <c r="B26" s="15">
        <f>IF('คำนวณ'!$B25=0,"",'ตารางเวร'!Y$9)</f>
        <v/>
      </c>
      <c r="C26" s="24">
        <f>IF('คำนวณ'!$B25=0,"",IF(SMALL('คำนวณ'!$BK25:$CD25,1)&gt;=999999,"",INDEX('ตารางเวร'!$A$10:$A$29,SMALL('คำนวณ'!$BK25:$CD25,1))&amp;IF(UPPER(SUBSTITUTE(INDEX('คำนวณ'!$C25:$V25,SMALL('คำนวณ'!$BK25:$CD25,1)),"*",""))="D","(D)","")))</f>
        <v/>
      </c>
      <c r="D26" s="24">
        <f>IF('คำนวณ'!$B25=0,"",IF(SMALL('คำนวณ'!$BK25:$CD25,2)&gt;=999999,"",INDEX('ตารางเวร'!$A$10:$A$29,SMALL('คำนวณ'!$BK25:$CD25,2))&amp;IF(UPPER(SUBSTITUTE(INDEX('คำนวณ'!$C25:$V25,SMALL('คำนวณ'!$BK25:$CD25,2)),"*",""))="D","(D)","")))</f>
        <v/>
      </c>
      <c r="E26" s="24">
        <f>IF('คำนวณ'!$B25=0,"",IF(SMALL('คำนวณ'!$BK25:$CD25,3)&gt;=999999,"",INDEX('ตารางเวร'!$A$10:$A$29,SMALL('คำนวณ'!$BK25:$CD25,3))&amp;IF(UPPER(SUBSTITUTE(INDEX('คำนวณ'!$C25:$V25,SMALL('คำนวณ'!$BK25:$CD25,3)),"*",""))="D","(D)","")))</f>
        <v/>
      </c>
      <c r="F26" s="24">
        <f>IF('คำนวณ'!$B25=0,"",IF(SMALL('คำนวณ'!$BK25:$CD25,4)&gt;=999999,"",INDEX('ตารางเวร'!$A$10:$A$29,SMALL('คำนวณ'!$BK25:$CD25,4))&amp;IF(UPPER(SUBSTITUTE(INDEX('คำนวณ'!$C25:$V25,SMALL('คำนวณ'!$BK25:$CD25,4)),"*",""))="D","(D)","")))</f>
        <v/>
      </c>
      <c r="G26" s="24">
        <f>IF('คำนวณ'!$B25=0,"",IF(SMALL('คำนวณ'!$BK25:$CD25,5)&gt;=999999,"",INDEX('ตารางเวร'!$A$10:$A$29,SMALL('คำนวณ'!$BK25:$CD25,5))&amp;IF(UPPER(SUBSTITUTE(INDEX('คำนวณ'!$C25:$V25,SMALL('คำนวณ'!$BK25:$CD25,5)),"*",""))="D","(D)","")))</f>
        <v/>
      </c>
      <c r="H26" s="24">
        <f>IF('คำนวณ'!$B25=0,"",IF(SMALL('คำนวณ'!$BK25:$CD25,6)&gt;=999999,"",INDEX('ตารางเวร'!$A$10:$A$29,SMALL('คำนวณ'!$BK25:$CD25,6))&amp;IF(UPPER(SUBSTITUTE(INDEX('คำนวณ'!$C25:$V25,SMALL('คำนวณ'!$BK25:$CD25,6)),"*",""))="D","(D)","")))</f>
        <v/>
      </c>
      <c r="I26" s="24">
        <f>IF('คำนวณ'!$B25=0,"",IF(SMALL('คำนวณ'!$BK25:$CD25,7)&gt;=999999,"",INDEX('ตารางเวร'!$A$10:$A$29,SMALL('คำนวณ'!$BK25:$CD25,7))&amp;IF(UPPER(SUBSTITUTE(INDEX('คำนวณ'!$C25:$V25,SMALL('คำนวณ'!$BK25:$CD25,7)),"*",""))="D","(D)","")))</f>
        <v/>
      </c>
      <c r="J26" s="24">
        <f>IF('คำนวณ'!$B25=0,"",IF(SMALL('คำนวณ'!$BK25:$CD25,8)&gt;=999999,"",INDEX('ตารางเวร'!$A$10:$A$29,SMALL('คำนวณ'!$BK25:$CD25,8))&amp;IF(UPPER(SUBSTITUTE(INDEX('คำนวณ'!$C25:$V25,SMALL('คำนวณ'!$BK25:$CD25,8)),"*",""))="D","(D)","")))</f>
        <v/>
      </c>
      <c r="K26" s="25">
        <f>IF(OR('คำนวณ'!$B25=0,'คำนวณ'!$CE25=0),"",INDEX('ตารางเวร'!$A$10:$A$29,'คำนวณ'!$CE25)&amp;IF(AND(TRIM('ตารางเวร'!$B$5)&lt;&gt;"",UPPER(SUBSTITUTE(INDEX('คำนวณ'!$C25:$V25,'คำนวณ'!$CE25),"*",""))="D"),"(D)",""))</f>
        <v/>
      </c>
      <c r="L26" s="26">
        <f>IF('คำนวณ'!$B25=0,"",IF('คำนวณ'!$DB25=2,"",IF(SMALL('คำนวณ'!$CF25:$CY25,1)&gt;=999999999,"",INDEX('ตารางเวร'!$A$10:$A$29,MATCH(SMALL('คำนวณ'!$CF25:$CY25,1),'คำนวณ'!$CF25:$CY25,0))&amp;IF(AND(TRIM('ตารางเวร'!$B$5)&lt;&gt;"",UPPER(SUBSTITUTE(INDEX('คำนวณ'!$C25:$V25,MATCH(SMALL('คำนวณ'!$CF25:$CY25,1),'คำนวณ'!$CF25:$CY25,0)),"*",""))="D"),"(D)",""))))</f>
        <v/>
      </c>
      <c r="M26" s="27">
        <f>IF('คำนวณ'!$B25=0,"",IF('คำนวณ'!$DB25=2,IF(SMALL('คำนวณ'!$CF25:$CY25,1)&gt;=999999999,"",INDEX('ตารางเวร'!$A$10:$A$29,MATCH(SMALL('คำนวณ'!$CF25:$CY25,1),'คำนวณ'!$CF25:$CY25,0))&amp;IF(AND(TRIM('ตารางเวร'!$B$5)&lt;&gt;"",UPPER(SUBSTITUTE(INDEX('คำนวณ'!$C25:$V25,MATCH(SMALL('คำนวณ'!$CF25:$CY25,1),'คำนวณ'!$CF25:$CY25,0)),"*",""))="D"),"(D)","")),IF(SMALL('คำนวณ'!$CF25:$CY25,2)&gt;=999999999,"",INDEX('ตารางเวร'!$A$10:$A$29,MATCH(SMALL('คำนวณ'!$CF25:$CY25,2),'คำนวณ'!$CF25:$CY25,0))&amp;IF(AND(TRIM('ตารางเวร'!$B$5)&lt;&gt;"",UPPER(SUBSTITUTE(INDEX('คำนวณ'!$C25:$V25,MATCH(SMALL('คำนวณ'!$CF25:$CY25,2),'คำนวณ'!$CF25:$CY25,0)),"*",""))="D"),"(D)",""))))</f>
        <v/>
      </c>
      <c r="N26" s="28">
        <f>IF('คำนวณ'!$B25=0,"",IF('คำนวณ'!$DB25=2,IF(SMALL('คำนวณ'!$CF25:$CY25,2)&gt;=999999999,"",INDEX('ตารางเวร'!$A$10:$A$29,MATCH(SMALL('คำนวณ'!$CF25:$CY25,2),'คำนวณ'!$CF25:$CY25,0))&amp;IF(AND(TRIM('ตารางเวร'!$B$5)&lt;&gt;"",UPPER(SUBSTITUTE(INDEX('คำนวณ'!$C25:$V25,MATCH(SMALL('คำนวณ'!$CF25:$CY25,2),'คำนวณ'!$CF25:$CY25,0)),"*",""))="D"),"(D)","")),IF(SMALL('คำนวณ'!$CF25:$CY25,3)&gt;=999999999,"",INDEX('ตารางเวร'!$A$10:$A$29,MATCH(SMALL('คำนวณ'!$CF25:$CY25,3),'คำนวณ'!$CF25:$CY25,0))&amp;IF(AND(TRIM('ตารางเวร'!$B$5)&lt;&gt;"",UPPER(SUBSTITUTE(INDEX('คำนวณ'!$C25:$V25,MATCH(SMALL('คำนวณ'!$CF25:$CY25,3),'คำนวณ'!$CF25:$CY25,0)),"*",""))="D"),"(D)",""))))</f>
        <v/>
      </c>
      <c r="O26" s="29">
        <f>IF('คำนวณ'!$B25=0,"",TRIM(IF(SMALL('คำนวณ'!$CF25:$CY25,4)&gt;=999999999,"","  "&amp;INDEX('ตารางเวร'!$A$10:$A$29,MATCH(SMALL('คำนวณ'!$CF25:$CY25,4),'คำนวณ'!$CF25:$CY25,0))&amp;IF(AND(TRIM('ตารางเวร'!$B$5)&lt;&gt;"",UPPER(SUBSTITUTE(INDEX('คำนวณ'!$C25:$V25,MATCH(SMALL('คำนวณ'!$CF25:$CY25,4),'คำนวณ'!$CF25:$CY25,0)),"*",""))="D"),"(D)",""))&amp;IF(SMALL('คำนวณ'!$CF25:$CY25,5)&gt;=999999999,"","  "&amp;INDEX('ตารางเวร'!$A$10:$A$29,MATCH(SMALL('คำนวณ'!$CF25:$CY25,5),'คำนวณ'!$CF25:$CY25,0))&amp;IF(AND(TRIM('ตารางเวร'!$B$5)&lt;&gt;"",UPPER(SUBSTITUTE(INDEX('คำนวณ'!$C25:$V25,MATCH(SMALL('คำนวณ'!$CF25:$CY25,5),'คำนวณ'!$CF25:$CY25,0)),"*",""))="D"),"(D)",""))&amp;IF(SMALL('คำนวณ'!$CF25:$CY25,6)&gt;=999999999,"","  "&amp;INDEX('ตารางเวร'!$A$10:$A$29,MATCH(SMALL('คำนวณ'!$CF25:$CY25,6),'คำนวณ'!$CF25:$CY25,0))&amp;IF(AND(TRIM('ตารางเวร'!$B$5)&lt;&gt;"",UPPER(SUBSTITUTE(INDEX('คำนวณ'!$C25:$V25,MATCH(SMALL('คำนวณ'!$CF25:$CY25,6),'คำนวณ'!$CF25:$CY25,0)),"*",""))="D"),"(D)",""))&amp;IF(SMALL('คำนวณ'!$CF25:$CY25,7)&gt;=999999999,"","  "&amp;INDEX('ตารางเวร'!$A$10:$A$29,MATCH(SMALL('คำนวณ'!$CF25:$CY25,7),'คำนวณ'!$CF25:$CY25,0))&amp;IF(AND(TRIM('ตารางเวร'!$B$5)&lt;&gt;"",UPPER(SUBSTITUTE(INDEX('คำนวณ'!$C25:$V25,MATCH(SMALL('คำนวณ'!$CF25:$CY25,7),'คำนวณ'!$CF25:$CY25,0)),"*",""))="D"),"(D)",""))&amp;IF(SMALL('คำนวณ'!$BK25:$CD25,9)&gt;=999999,"","  "&amp;INDEX('ตารางเวร'!$A$10:$A$29,SMALL('คำนวณ'!$BK25:$CD25,9))&amp;IF(UPPER(SUBSTITUTE(INDEX('คำนวณ'!$C25:$V25,SMALL('คำนวณ'!$BK25:$CD25,9)),"*",""))="D","(D)",""))&amp;IF(SMALL('คำนวณ'!$BK25:$CD25,10)&gt;=999999,"","  "&amp;INDEX('ตารางเวร'!$A$10:$A$29,SMALL('คำนวณ'!$BK25:$CD25,10))&amp;IF(UPPER(SUBSTITUTE(INDEX('คำนวณ'!$C25:$V25,SMALL('คำนวณ'!$BK25:$CD25,10)),"*",""))="D","(D)",""))&amp;IF(SMALL('คำนวณ'!$BK25:$CD25,11)&gt;=999999,"","  "&amp;INDEX('ตารางเวร'!$A$10:$A$29,SMALL('คำนวณ'!$BK25:$CD25,11))&amp;IF(UPPER(SUBSTITUTE(INDEX('คำนวณ'!$C25:$V25,SMALL('คำนวณ'!$BK25:$CD25,11)),"*",""))="D","(D)",""))&amp;IF(SMALL('คำนวณ'!$BK25:$CD25,12)&gt;=999999,"","  "&amp;INDEX('ตารางเวร'!$A$10:$A$29,SMALL('คำนวณ'!$BK25:$CD25,12))&amp;IF(UPPER(SUBSTITUTE(INDEX('คำนวณ'!$C25:$V25,SMALL('คำนวณ'!$BK25:$CD25,12)),"*",""))="D","(D)",""))))</f>
        <v/>
      </c>
    </row>
    <row r="27">
      <c r="A27" s="15">
        <f>IF('คำนวณ'!$B26=0,"",'คำนวณ'!$A26)</f>
        <v/>
      </c>
      <c r="B27" s="15">
        <f>IF('คำนวณ'!$B26=0,"",'ตารางเวร'!Z$9)</f>
        <v/>
      </c>
      <c r="C27" s="24">
        <f>IF('คำนวณ'!$B26=0,"",IF(SMALL('คำนวณ'!$BK26:$CD26,1)&gt;=999999,"",INDEX('ตารางเวร'!$A$10:$A$29,SMALL('คำนวณ'!$BK26:$CD26,1))&amp;IF(UPPER(SUBSTITUTE(INDEX('คำนวณ'!$C26:$V26,SMALL('คำนวณ'!$BK26:$CD26,1)),"*",""))="D","(D)","")))</f>
        <v/>
      </c>
      <c r="D27" s="24">
        <f>IF('คำนวณ'!$B26=0,"",IF(SMALL('คำนวณ'!$BK26:$CD26,2)&gt;=999999,"",INDEX('ตารางเวร'!$A$10:$A$29,SMALL('คำนวณ'!$BK26:$CD26,2))&amp;IF(UPPER(SUBSTITUTE(INDEX('คำนวณ'!$C26:$V26,SMALL('คำนวณ'!$BK26:$CD26,2)),"*",""))="D","(D)","")))</f>
        <v/>
      </c>
      <c r="E27" s="24">
        <f>IF('คำนวณ'!$B26=0,"",IF(SMALL('คำนวณ'!$BK26:$CD26,3)&gt;=999999,"",INDEX('ตารางเวร'!$A$10:$A$29,SMALL('คำนวณ'!$BK26:$CD26,3))&amp;IF(UPPER(SUBSTITUTE(INDEX('คำนวณ'!$C26:$V26,SMALL('คำนวณ'!$BK26:$CD26,3)),"*",""))="D","(D)","")))</f>
        <v/>
      </c>
      <c r="F27" s="24">
        <f>IF('คำนวณ'!$B26=0,"",IF(SMALL('คำนวณ'!$BK26:$CD26,4)&gt;=999999,"",INDEX('ตารางเวร'!$A$10:$A$29,SMALL('คำนวณ'!$BK26:$CD26,4))&amp;IF(UPPER(SUBSTITUTE(INDEX('คำนวณ'!$C26:$V26,SMALL('คำนวณ'!$BK26:$CD26,4)),"*",""))="D","(D)","")))</f>
        <v/>
      </c>
      <c r="G27" s="24">
        <f>IF('คำนวณ'!$B26=0,"",IF(SMALL('คำนวณ'!$BK26:$CD26,5)&gt;=999999,"",INDEX('ตารางเวร'!$A$10:$A$29,SMALL('คำนวณ'!$BK26:$CD26,5))&amp;IF(UPPER(SUBSTITUTE(INDEX('คำนวณ'!$C26:$V26,SMALL('คำนวณ'!$BK26:$CD26,5)),"*",""))="D","(D)","")))</f>
        <v/>
      </c>
      <c r="H27" s="24">
        <f>IF('คำนวณ'!$B26=0,"",IF(SMALL('คำนวณ'!$BK26:$CD26,6)&gt;=999999,"",INDEX('ตารางเวร'!$A$10:$A$29,SMALL('คำนวณ'!$BK26:$CD26,6))&amp;IF(UPPER(SUBSTITUTE(INDEX('คำนวณ'!$C26:$V26,SMALL('คำนวณ'!$BK26:$CD26,6)),"*",""))="D","(D)","")))</f>
        <v/>
      </c>
      <c r="I27" s="24">
        <f>IF('คำนวณ'!$B26=0,"",IF(SMALL('คำนวณ'!$BK26:$CD26,7)&gt;=999999,"",INDEX('ตารางเวร'!$A$10:$A$29,SMALL('คำนวณ'!$BK26:$CD26,7))&amp;IF(UPPER(SUBSTITUTE(INDEX('คำนวณ'!$C26:$V26,SMALL('คำนวณ'!$BK26:$CD26,7)),"*",""))="D","(D)","")))</f>
        <v/>
      </c>
      <c r="J27" s="24">
        <f>IF('คำนวณ'!$B26=0,"",IF(SMALL('คำนวณ'!$BK26:$CD26,8)&gt;=999999,"",INDEX('ตารางเวร'!$A$10:$A$29,SMALL('คำนวณ'!$BK26:$CD26,8))&amp;IF(UPPER(SUBSTITUTE(INDEX('คำนวณ'!$C26:$V26,SMALL('คำนวณ'!$BK26:$CD26,8)),"*",""))="D","(D)","")))</f>
        <v/>
      </c>
      <c r="K27" s="25">
        <f>IF(OR('คำนวณ'!$B26=0,'คำนวณ'!$CE26=0),"",INDEX('ตารางเวร'!$A$10:$A$29,'คำนวณ'!$CE26)&amp;IF(AND(TRIM('ตารางเวร'!$B$5)&lt;&gt;"",UPPER(SUBSTITUTE(INDEX('คำนวณ'!$C26:$V26,'คำนวณ'!$CE26),"*",""))="D"),"(D)",""))</f>
        <v/>
      </c>
      <c r="L27" s="26">
        <f>IF('คำนวณ'!$B26=0,"",IF('คำนวณ'!$DB26=2,"",IF(SMALL('คำนวณ'!$CF26:$CY26,1)&gt;=999999999,"",INDEX('ตารางเวร'!$A$10:$A$29,MATCH(SMALL('คำนวณ'!$CF26:$CY26,1),'คำนวณ'!$CF26:$CY26,0))&amp;IF(AND(TRIM('ตารางเวร'!$B$5)&lt;&gt;"",UPPER(SUBSTITUTE(INDEX('คำนวณ'!$C26:$V26,MATCH(SMALL('คำนวณ'!$CF26:$CY26,1),'คำนวณ'!$CF26:$CY26,0)),"*",""))="D"),"(D)",""))))</f>
        <v/>
      </c>
      <c r="M27" s="27">
        <f>IF('คำนวณ'!$B26=0,"",IF('คำนวณ'!$DB26=2,IF(SMALL('คำนวณ'!$CF26:$CY26,1)&gt;=999999999,"",INDEX('ตารางเวร'!$A$10:$A$29,MATCH(SMALL('คำนวณ'!$CF26:$CY26,1),'คำนวณ'!$CF26:$CY26,0))&amp;IF(AND(TRIM('ตารางเวร'!$B$5)&lt;&gt;"",UPPER(SUBSTITUTE(INDEX('คำนวณ'!$C26:$V26,MATCH(SMALL('คำนวณ'!$CF26:$CY26,1),'คำนวณ'!$CF26:$CY26,0)),"*",""))="D"),"(D)","")),IF(SMALL('คำนวณ'!$CF26:$CY26,2)&gt;=999999999,"",INDEX('ตารางเวร'!$A$10:$A$29,MATCH(SMALL('คำนวณ'!$CF26:$CY26,2),'คำนวณ'!$CF26:$CY26,0))&amp;IF(AND(TRIM('ตารางเวร'!$B$5)&lt;&gt;"",UPPER(SUBSTITUTE(INDEX('คำนวณ'!$C26:$V26,MATCH(SMALL('คำนวณ'!$CF26:$CY26,2),'คำนวณ'!$CF26:$CY26,0)),"*",""))="D"),"(D)",""))))</f>
        <v/>
      </c>
      <c r="N27" s="28">
        <f>IF('คำนวณ'!$B26=0,"",IF('คำนวณ'!$DB26=2,IF(SMALL('คำนวณ'!$CF26:$CY26,2)&gt;=999999999,"",INDEX('ตารางเวร'!$A$10:$A$29,MATCH(SMALL('คำนวณ'!$CF26:$CY26,2),'คำนวณ'!$CF26:$CY26,0))&amp;IF(AND(TRIM('ตารางเวร'!$B$5)&lt;&gt;"",UPPER(SUBSTITUTE(INDEX('คำนวณ'!$C26:$V26,MATCH(SMALL('คำนวณ'!$CF26:$CY26,2),'คำนวณ'!$CF26:$CY26,0)),"*",""))="D"),"(D)","")),IF(SMALL('คำนวณ'!$CF26:$CY26,3)&gt;=999999999,"",INDEX('ตารางเวร'!$A$10:$A$29,MATCH(SMALL('คำนวณ'!$CF26:$CY26,3),'คำนวณ'!$CF26:$CY26,0))&amp;IF(AND(TRIM('ตารางเวร'!$B$5)&lt;&gt;"",UPPER(SUBSTITUTE(INDEX('คำนวณ'!$C26:$V26,MATCH(SMALL('คำนวณ'!$CF26:$CY26,3),'คำนวณ'!$CF26:$CY26,0)),"*",""))="D"),"(D)",""))))</f>
        <v/>
      </c>
      <c r="O27" s="29">
        <f>IF('คำนวณ'!$B26=0,"",TRIM(IF(SMALL('คำนวณ'!$CF26:$CY26,4)&gt;=999999999,"","  "&amp;INDEX('ตารางเวร'!$A$10:$A$29,MATCH(SMALL('คำนวณ'!$CF26:$CY26,4),'คำนวณ'!$CF26:$CY26,0))&amp;IF(AND(TRIM('ตารางเวร'!$B$5)&lt;&gt;"",UPPER(SUBSTITUTE(INDEX('คำนวณ'!$C26:$V26,MATCH(SMALL('คำนวณ'!$CF26:$CY26,4),'คำนวณ'!$CF26:$CY26,0)),"*",""))="D"),"(D)",""))&amp;IF(SMALL('คำนวณ'!$CF26:$CY26,5)&gt;=999999999,"","  "&amp;INDEX('ตารางเวร'!$A$10:$A$29,MATCH(SMALL('คำนวณ'!$CF26:$CY26,5),'คำนวณ'!$CF26:$CY26,0))&amp;IF(AND(TRIM('ตารางเวร'!$B$5)&lt;&gt;"",UPPER(SUBSTITUTE(INDEX('คำนวณ'!$C26:$V26,MATCH(SMALL('คำนวณ'!$CF26:$CY26,5),'คำนวณ'!$CF26:$CY26,0)),"*",""))="D"),"(D)",""))&amp;IF(SMALL('คำนวณ'!$CF26:$CY26,6)&gt;=999999999,"","  "&amp;INDEX('ตารางเวร'!$A$10:$A$29,MATCH(SMALL('คำนวณ'!$CF26:$CY26,6),'คำนวณ'!$CF26:$CY26,0))&amp;IF(AND(TRIM('ตารางเวร'!$B$5)&lt;&gt;"",UPPER(SUBSTITUTE(INDEX('คำนวณ'!$C26:$V26,MATCH(SMALL('คำนวณ'!$CF26:$CY26,6),'คำนวณ'!$CF26:$CY26,0)),"*",""))="D"),"(D)",""))&amp;IF(SMALL('คำนวณ'!$CF26:$CY26,7)&gt;=999999999,"","  "&amp;INDEX('ตารางเวร'!$A$10:$A$29,MATCH(SMALL('คำนวณ'!$CF26:$CY26,7),'คำนวณ'!$CF26:$CY26,0))&amp;IF(AND(TRIM('ตารางเวร'!$B$5)&lt;&gt;"",UPPER(SUBSTITUTE(INDEX('คำนวณ'!$C26:$V26,MATCH(SMALL('คำนวณ'!$CF26:$CY26,7),'คำนวณ'!$CF26:$CY26,0)),"*",""))="D"),"(D)",""))&amp;IF(SMALL('คำนวณ'!$BK26:$CD26,9)&gt;=999999,"","  "&amp;INDEX('ตารางเวร'!$A$10:$A$29,SMALL('คำนวณ'!$BK26:$CD26,9))&amp;IF(UPPER(SUBSTITUTE(INDEX('คำนวณ'!$C26:$V26,SMALL('คำนวณ'!$BK26:$CD26,9)),"*",""))="D","(D)",""))&amp;IF(SMALL('คำนวณ'!$BK26:$CD26,10)&gt;=999999,"","  "&amp;INDEX('ตารางเวร'!$A$10:$A$29,SMALL('คำนวณ'!$BK26:$CD26,10))&amp;IF(UPPER(SUBSTITUTE(INDEX('คำนวณ'!$C26:$V26,SMALL('คำนวณ'!$BK26:$CD26,10)),"*",""))="D","(D)",""))&amp;IF(SMALL('คำนวณ'!$BK26:$CD26,11)&gt;=999999,"","  "&amp;INDEX('ตารางเวร'!$A$10:$A$29,SMALL('คำนวณ'!$BK26:$CD26,11))&amp;IF(UPPER(SUBSTITUTE(INDEX('คำนวณ'!$C26:$V26,SMALL('คำนวณ'!$BK26:$CD26,11)),"*",""))="D","(D)",""))&amp;IF(SMALL('คำนวณ'!$BK26:$CD26,12)&gt;=999999,"","  "&amp;INDEX('ตารางเวร'!$A$10:$A$29,SMALL('คำนวณ'!$BK26:$CD26,12))&amp;IF(UPPER(SUBSTITUTE(INDEX('คำนวณ'!$C26:$V26,SMALL('คำนวณ'!$BK26:$CD26,12)),"*",""))="D","(D)",""))))</f>
        <v/>
      </c>
    </row>
    <row r="28">
      <c r="A28" s="15">
        <f>IF('คำนวณ'!$B27=0,"",'คำนวณ'!$A27)</f>
        <v/>
      </c>
      <c r="B28" s="15">
        <f>IF('คำนวณ'!$B27=0,"",'ตารางเวร'!AA$9)</f>
        <v/>
      </c>
      <c r="C28" s="24">
        <f>IF('คำนวณ'!$B27=0,"",IF(SMALL('คำนวณ'!$BK27:$CD27,1)&gt;=999999,"",INDEX('ตารางเวร'!$A$10:$A$29,SMALL('คำนวณ'!$BK27:$CD27,1))&amp;IF(UPPER(SUBSTITUTE(INDEX('คำนวณ'!$C27:$V27,SMALL('คำนวณ'!$BK27:$CD27,1)),"*",""))="D","(D)","")))</f>
        <v/>
      </c>
      <c r="D28" s="24">
        <f>IF('คำนวณ'!$B27=0,"",IF(SMALL('คำนวณ'!$BK27:$CD27,2)&gt;=999999,"",INDEX('ตารางเวร'!$A$10:$A$29,SMALL('คำนวณ'!$BK27:$CD27,2))&amp;IF(UPPER(SUBSTITUTE(INDEX('คำนวณ'!$C27:$V27,SMALL('คำนวณ'!$BK27:$CD27,2)),"*",""))="D","(D)","")))</f>
        <v/>
      </c>
      <c r="E28" s="24">
        <f>IF('คำนวณ'!$B27=0,"",IF(SMALL('คำนวณ'!$BK27:$CD27,3)&gt;=999999,"",INDEX('ตารางเวร'!$A$10:$A$29,SMALL('คำนวณ'!$BK27:$CD27,3))&amp;IF(UPPER(SUBSTITUTE(INDEX('คำนวณ'!$C27:$V27,SMALL('คำนวณ'!$BK27:$CD27,3)),"*",""))="D","(D)","")))</f>
        <v/>
      </c>
      <c r="F28" s="24">
        <f>IF('คำนวณ'!$B27=0,"",IF(SMALL('คำนวณ'!$BK27:$CD27,4)&gt;=999999,"",INDEX('ตารางเวร'!$A$10:$A$29,SMALL('คำนวณ'!$BK27:$CD27,4))&amp;IF(UPPER(SUBSTITUTE(INDEX('คำนวณ'!$C27:$V27,SMALL('คำนวณ'!$BK27:$CD27,4)),"*",""))="D","(D)","")))</f>
        <v/>
      </c>
      <c r="G28" s="24">
        <f>IF('คำนวณ'!$B27=0,"",IF(SMALL('คำนวณ'!$BK27:$CD27,5)&gt;=999999,"",INDEX('ตารางเวร'!$A$10:$A$29,SMALL('คำนวณ'!$BK27:$CD27,5))&amp;IF(UPPER(SUBSTITUTE(INDEX('คำนวณ'!$C27:$V27,SMALL('คำนวณ'!$BK27:$CD27,5)),"*",""))="D","(D)","")))</f>
        <v/>
      </c>
      <c r="H28" s="24">
        <f>IF('คำนวณ'!$B27=0,"",IF(SMALL('คำนวณ'!$BK27:$CD27,6)&gt;=999999,"",INDEX('ตารางเวร'!$A$10:$A$29,SMALL('คำนวณ'!$BK27:$CD27,6))&amp;IF(UPPER(SUBSTITUTE(INDEX('คำนวณ'!$C27:$V27,SMALL('คำนวณ'!$BK27:$CD27,6)),"*",""))="D","(D)","")))</f>
        <v/>
      </c>
      <c r="I28" s="24">
        <f>IF('คำนวณ'!$B27=0,"",IF(SMALL('คำนวณ'!$BK27:$CD27,7)&gt;=999999,"",INDEX('ตารางเวร'!$A$10:$A$29,SMALL('คำนวณ'!$BK27:$CD27,7))&amp;IF(UPPER(SUBSTITUTE(INDEX('คำนวณ'!$C27:$V27,SMALL('คำนวณ'!$BK27:$CD27,7)),"*",""))="D","(D)","")))</f>
        <v/>
      </c>
      <c r="J28" s="24">
        <f>IF('คำนวณ'!$B27=0,"",IF(SMALL('คำนวณ'!$BK27:$CD27,8)&gt;=999999,"",INDEX('ตารางเวร'!$A$10:$A$29,SMALL('คำนวณ'!$BK27:$CD27,8))&amp;IF(UPPER(SUBSTITUTE(INDEX('คำนวณ'!$C27:$V27,SMALL('คำนวณ'!$BK27:$CD27,8)),"*",""))="D","(D)","")))</f>
        <v/>
      </c>
      <c r="K28" s="25">
        <f>IF(OR('คำนวณ'!$B27=0,'คำนวณ'!$CE27=0),"",INDEX('ตารางเวร'!$A$10:$A$29,'คำนวณ'!$CE27)&amp;IF(AND(TRIM('ตารางเวร'!$B$5)&lt;&gt;"",UPPER(SUBSTITUTE(INDEX('คำนวณ'!$C27:$V27,'คำนวณ'!$CE27),"*",""))="D"),"(D)",""))</f>
        <v/>
      </c>
      <c r="L28" s="26">
        <f>IF('คำนวณ'!$B27=0,"",IF('คำนวณ'!$DB27=2,"",IF(SMALL('คำนวณ'!$CF27:$CY27,1)&gt;=999999999,"",INDEX('ตารางเวร'!$A$10:$A$29,MATCH(SMALL('คำนวณ'!$CF27:$CY27,1),'คำนวณ'!$CF27:$CY27,0))&amp;IF(AND(TRIM('ตารางเวร'!$B$5)&lt;&gt;"",UPPER(SUBSTITUTE(INDEX('คำนวณ'!$C27:$V27,MATCH(SMALL('คำนวณ'!$CF27:$CY27,1),'คำนวณ'!$CF27:$CY27,0)),"*",""))="D"),"(D)",""))))</f>
        <v/>
      </c>
      <c r="M28" s="27">
        <f>IF('คำนวณ'!$B27=0,"",IF('คำนวณ'!$DB27=2,IF(SMALL('คำนวณ'!$CF27:$CY27,1)&gt;=999999999,"",INDEX('ตารางเวร'!$A$10:$A$29,MATCH(SMALL('คำนวณ'!$CF27:$CY27,1),'คำนวณ'!$CF27:$CY27,0))&amp;IF(AND(TRIM('ตารางเวร'!$B$5)&lt;&gt;"",UPPER(SUBSTITUTE(INDEX('คำนวณ'!$C27:$V27,MATCH(SMALL('คำนวณ'!$CF27:$CY27,1),'คำนวณ'!$CF27:$CY27,0)),"*",""))="D"),"(D)","")),IF(SMALL('คำนวณ'!$CF27:$CY27,2)&gt;=999999999,"",INDEX('ตารางเวร'!$A$10:$A$29,MATCH(SMALL('คำนวณ'!$CF27:$CY27,2),'คำนวณ'!$CF27:$CY27,0))&amp;IF(AND(TRIM('ตารางเวร'!$B$5)&lt;&gt;"",UPPER(SUBSTITUTE(INDEX('คำนวณ'!$C27:$V27,MATCH(SMALL('คำนวณ'!$CF27:$CY27,2),'คำนวณ'!$CF27:$CY27,0)),"*",""))="D"),"(D)",""))))</f>
        <v/>
      </c>
      <c r="N28" s="28">
        <f>IF('คำนวณ'!$B27=0,"",IF('คำนวณ'!$DB27=2,IF(SMALL('คำนวณ'!$CF27:$CY27,2)&gt;=999999999,"",INDEX('ตารางเวร'!$A$10:$A$29,MATCH(SMALL('คำนวณ'!$CF27:$CY27,2),'คำนวณ'!$CF27:$CY27,0))&amp;IF(AND(TRIM('ตารางเวร'!$B$5)&lt;&gt;"",UPPER(SUBSTITUTE(INDEX('คำนวณ'!$C27:$V27,MATCH(SMALL('คำนวณ'!$CF27:$CY27,2),'คำนวณ'!$CF27:$CY27,0)),"*",""))="D"),"(D)","")),IF(SMALL('คำนวณ'!$CF27:$CY27,3)&gt;=999999999,"",INDEX('ตารางเวร'!$A$10:$A$29,MATCH(SMALL('คำนวณ'!$CF27:$CY27,3),'คำนวณ'!$CF27:$CY27,0))&amp;IF(AND(TRIM('ตารางเวร'!$B$5)&lt;&gt;"",UPPER(SUBSTITUTE(INDEX('คำนวณ'!$C27:$V27,MATCH(SMALL('คำนวณ'!$CF27:$CY27,3),'คำนวณ'!$CF27:$CY27,0)),"*",""))="D"),"(D)",""))))</f>
        <v/>
      </c>
      <c r="O28" s="29">
        <f>IF('คำนวณ'!$B27=0,"",TRIM(IF(SMALL('คำนวณ'!$CF27:$CY27,4)&gt;=999999999,"","  "&amp;INDEX('ตารางเวร'!$A$10:$A$29,MATCH(SMALL('คำนวณ'!$CF27:$CY27,4),'คำนวณ'!$CF27:$CY27,0))&amp;IF(AND(TRIM('ตารางเวร'!$B$5)&lt;&gt;"",UPPER(SUBSTITUTE(INDEX('คำนวณ'!$C27:$V27,MATCH(SMALL('คำนวณ'!$CF27:$CY27,4),'คำนวณ'!$CF27:$CY27,0)),"*",""))="D"),"(D)",""))&amp;IF(SMALL('คำนวณ'!$CF27:$CY27,5)&gt;=999999999,"","  "&amp;INDEX('ตารางเวร'!$A$10:$A$29,MATCH(SMALL('คำนวณ'!$CF27:$CY27,5),'คำนวณ'!$CF27:$CY27,0))&amp;IF(AND(TRIM('ตารางเวร'!$B$5)&lt;&gt;"",UPPER(SUBSTITUTE(INDEX('คำนวณ'!$C27:$V27,MATCH(SMALL('คำนวณ'!$CF27:$CY27,5),'คำนวณ'!$CF27:$CY27,0)),"*",""))="D"),"(D)",""))&amp;IF(SMALL('คำนวณ'!$CF27:$CY27,6)&gt;=999999999,"","  "&amp;INDEX('ตารางเวร'!$A$10:$A$29,MATCH(SMALL('คำนวณ'!$CF27:$CY27,6),'คำนวณ'!$CF27:$CY27,0))&amp;IF(AND(TRIM('ตารางเวร'!$B$5)&lt;&gt;"",UPPER(SUBSTITUTE(INDEX('คำนวณ'!$C27:$V27,MATCH(SMALL('คำนวณ'!$CF27:$CY27,6),'คำนวณ'!$CF27:$CY27,0)),"*",""))="D"),"(D)",""))&amp;IF(SMALL('คำนวณ'!$CF27:$CY27,7)&gt;=999999999,"","  "&amp;INDEX('ตารางเวร'!$A$10:$A$29,MATCH(SMALL('คำนวณ'!$CF27:$CY27,7),'คำนวณ'!$CF27:$CY27,0))&amp;IF(AND(TRIM('ตารางเวร'!$B$5)&lt;&gt;"",UPPER(SUBSTITUTE(INDEX('คำนวณ'!$C27:$V27,MATCH(SMALL('คำนวณ'!$CF27:$CY27,7),'คำนวณ'!$CF27:$CY27,0)),"*",""))="D"),"(D)",""))&amp;IF(SMALL('คำนวณ'!$BK27:$CD27,9)&gt;=999999,"","  "&amp;INDEX('ตารางเวร'!$A$10:$A$29,SMALL('คำนวณ'!$BK27:$CD27,9))&amp;IF(UPPER(SUBSTITUTE(INDEX('คำนวณ'!$C27:$V27,SMALL('คำนวณ'!$BK27:$CD27,9)),"*",""))="D","(D)",""))&amp;IF(SMALL('คำนวณ'!$BK27:$CD27,10)&gt;=999999,"","  "&amp;INDEX('ตารางเวร'!$A$10:$A$29,SMALL('คำนวณ'!$BK27:$CD27,10))&amp;IF(UPPER(SUBSTITUTE(INDEX('คำนวณ'!$C27:$V27,SMALL('คำนวณ'!$BK27:$CD27,10)),"*",""))="D","(D)",""))&amp;IF(SMALL('คำนวณ'!$BK27:$CD27,11)&gt;=999999,"","  "&amp;INDEX('ตารางเวร'!$A$10:$A$29,SMALL('คำนวณ'!$BK27:$CD27,11))&amp;IF(UPPER(SUBSTITUTE(INDEX('คำนวณ'!$C27:$V27,SMALL('คำนวณ'!$BK27:$CD27,11)),"*",""))="D","(D)",""))&amp;IF(SMALL('คำนวณ'!$BK27:$CD27,12)&gt;=999999,"","  "&amp;INDEX('ตารางเวร'!$A$10:$A$29,SMALL('คำนวณ'!$BK27:$CD27,12))&amp;IF(UPPER(SUBSTITUTE(INDEX('คำนวณ'!$C27:$V27,SMALL('คำนวณ'!$BK27:$CD27,12)),"*",""))="D","(D)",""))))</f>
        <v/>
      </c>
    </row>
    <row r="29">
      <c r="A29" s="15">
        <f>IF('คำนวณ'!$B28=0,"",'คำนวณ'!$A28)</f>
        <v/>
      </c>
      <c r="B29" s="15">
        <f>IF('คำนวณ'!$B28=0,"",'ตารางเวร'!AB$9)</f>
        <v/>
      </c>
      <c r="C29" s="24">
        <f>IF('คำนวณ'!$B28=0,"",IF(SMALL('คำนวณ'!$BK28:$CD28,1)&gt;=999999,"",INDEX('ตารางเวร'!$A$10:$A$29,SMALL('คำนวณ'!$BK28:$CD28,1))&amp;IF(UPPER(SUBSTITUTE(INDEX('คำนวณ'!$C28:$V28,SMALL('คำนวณ'!$BK28:$CD28,1)),"*",""))="D","(D)","")))</f>
        <v/>
      </c>
      <c r="D29" s="24">
        <f>IF('คำนวณ'!$B28=0,"",IF(SMALL('คำนวณ'!$BK28:$CD28,2)&gt;=999999,"",INDEX('ตารางเวร'!$A$10:$A$29,SMALL('คำนวณ'!$BK28:$CD28,2))&amp;IF(UPPER(SUBSTITUTE(INDEX('คำนวณ'!$C28:$V28,SMALL('คำนวณ'!$BK28:$CD28,2)),"*",""))="D","(D)","")))</f>
        <v/>
      </c>
      <c r="E29" s="24">
        <f>IF('คำนวณ'!$B28=0,"",IF(SMALL('คำนวณ'!$BK28:$CD28,3)&gt;=999999,"",INDEX('ตารางเวร'!$A$10:$A$29,SMALL('คำนวณ'!$BK28:$CD28,3))&amp;IF(UPPER(SUBSTITUTE(INDEX('คำนวณ'!$C28:$V28,SMALL('คำนวณ'!$BK28:$CD28,3)),"*",""))="D","(D)","")))</f>
        <v/>
      </c>
      <c r="F29" s="24">
        <f>IF('คำนวณ'!$B28=0,"",IF(SMALL('คำนวณ'!$BK28:$CD28,4)&gt;=999999,"",INDEX('ตารางเวร'!$A$10:$A$29,SMALL('คำนวณ'!$BK28:$CD28,4))&amp;IF(UPPER(SUBSTITUTE(INDEX('คำนวณ'!$C28:$V28,SMALL('คำนวณ'!$BK28:$CD28,4)),"*",""))="D","(D)","")))</f>
        <v/>
      </c>
      <c r="G29" s="24">
        <f>IF('คำนวณ'!$B28=0,"",IF(SMALL('คำนวณ'!$BK28:$CD28,5)&gt;=999999,"",INDEX('ตารางเวร'!$A$10:$A$29,SMALL('คำนวณ'!$BK28:$CD28,5))&amp;IF(UPPER(SUBSTITUTE(INDEX('คำนวณ'!$C28:$V28,SMALL('คำนวณ'!$BK28:$CD28,5)),"*",""))="D","(D)","")))</f>
        <v/>
      </c>
      <c r="H29" s="24">
        <f>IF('คำนวณ'!$B28=0,"",IF(SMALL('คำนวณ'!$BK28:$CD28,6)&gt;=999999,"",INDEX('ตารางเวร'!$A$10:$A$29,SMALL('คำนวณ'!$BK28:$CD28,6))&amp;IF(UPPER(SUBSTITUTE(INDEX('คำนวณ'!$C28:$V28,SMALL('คำนวณ'!$BK28:$CD28,6)),"*",""))="D","(D)","")))</f>
        <v/>
      </c>
      <c r="I29" s="24">
        <f>IF('คำนวณ'!$B28=0,"",IF(SMALL('คำนวณ'!$BK28:$CD28,7)&gt;=999999,"",INDEX('ตารางเวร'!$A$10:$A$29,SMALL('คำนวณ'!$BK28:$CD28,7))&amp;IF(UPPER(SUBSTITUTE(INDEX('คำนวณ'!$C28:$V28,SMALL('คำนวณ'!$BK28:$CD28,7)),"*",""))="D","(D)","")))</f>
        <v/>
      </c>
      <c r="J29" s="24">
        <f>IF('คำนวณ'!$B28=0,"",IF(SMALL('คำนวณ'!$BK28:$CD28,8)&gt;=999999,"",INDEX('ตารางเวร'!$A$10:$A$29,SMALL('คำนวณ'!$BK28:$CD28,8))&amp;IF(UPPER(SUBSTITUTE(INDEX('คำนวณ'!$C28:$V28,SMALL('คำนวณ'!$BK28:$CD28,8)),"*",""))="D","(D)","")))</f>
        <v/>
      </c>
      <c r="K29" s="25">
        <f>IF(OR('คำนวณ'!$B28=0,'คำนวณ'!$CE28=0),"",INDEX('ตารางเวร'!$A$10:$A$29,'คำนวณ'!$CE28)&amp;IF(AND(TRIM('ตารางเวร'!$B$5)&lt;&gt;"",UPPER(SUBSTITUTE(INDEX('คำนวณ'!$C28:$V28,'คำนวณ'!$CE28),"*",""))="D"),"(D)",""))</f>
        <v/>
      </c>
      <c r="L29" s="26">
        <f>IF('คำนวณ'!$B28=0,"",IF('คำนวณ'!$DB28=2,"",IF(SMALL('คำนวณ'!$CF28:$CY28,1)&gt;=999999999,"",INDEX('ตารางเวร'!$A$10:$A$29,MATCH(SMALL('คำนวณ'!$CF28:$CY28,1),'คำนวณ'!$CF28:$CY28,0))&amp;IF(AND(TRIM('ตารางเวร'!$B$5)&lt;&gt;"",UPPER(SUBSTITUTE(INDEX('คำนวณ'!$C28:$V28,MATCH(SMALL('คำนวณ'!$CF28:$CY28,1),'คำนวณ'!$CF28:$CY28,0)),"*",""))="D"),"(D)",""))))</f>
        <v/>
      </c>
      <c r="M29" s="27">
        <f>IF('คำนวณ'!$B28=0,"",IF('คำนวณ'!$DB28=2,IF(SMALL('คำนวณ'!$CF28:$CY28,1)&gt;=999999999,"",INDEX('ตารางเวร'!$A$10:$A$29,MATCH(SMALL('คำนวณ'!$CF28:$CY28,1),'คำนวณ'!$CF28:$CY28,0))&amp;IF(AND(TRIM('ตารางเวร'!$B$5)&lt;&gt;"",UPPER(SUBSTITUTE(INDEX('คำนวณ'!$C28:$V28,MATCH(SMALL('คำนวณ'!$CF28:$CY28,1),'คำนวณ'!$CF28:$CY28,0)),"*",""))="D"),"(D)","")),IF(SMALL('คำนวณ'!$CF28:$CY28,2)&gt;=999999999,"",INDEX('ตารางเวร'!$A$10:$A$29,MATCH(SMALL('คำนวณ'!$CF28:$CY28,2),'คำนวณ'!$CF28:$CY28,0))&amp;IF(AND(TRIM('ตารางเวร'!$B$5)&lt;&gt;"",UPPER(SUBSTITUTE(INDEX('คำนวณ'!$C28:$V28,MATCH(SMALL('คำนวณ'!$CF28:$CY28,2),'คำนวณ'!$CF28:$CY28,0)),"*",""))="D"),"(D)",""))))</f>
        <v/>
      </c>
      <c r="N29" s="28">
        <f>IF('คำนวณ'!$B28=0,"",IF('คำนวณ'!$DB28=2,IF(SMALL('คำนวณ'!$CF28:$CY28,2)&gt;=999999999,"",INDEX('ตารางเวร'!$A$10:$A$29,MATCH(SMALL('คำนวณ'!$CF28:$CY28,2),'คำนวณ'!$CF28:$CY28,0))&amp;IF(AND(TRIM('ตารางเวร'!$B$5)&lt;&gt;"",UPPER(SUBSTITUTE(INDEX('คำนวณ'!$C28:$V28,MATCH(SMALL('คำนวณ'!$CF28:$CY28,2),'คำนวณ'!$CF28:$CY28,0)),"*",""))="D"),"(D)","")),IF(SMALL('คำนวณ'!$CF28:$CY28,3)&gt;=999999999,"",INDEX('ตารางเวร'!$A$10:$A$29,MATCH(SMALL('คำนวณ'!$CF28:$CY28,3),'คำนวณ'!$CF28:$CY28,0))&amp;IF(AND(TRIM('ตารางเวร'!$B$5)&lt;&gt;"",UPPER(SUBSTITUTE(INDEX('คำนวณ'!$C28:$V28,MATCH(SMALL('คำนวณ'!$CF28:$CY28,3),'คำนวณ'!$CF28:$CY28,0)),"*",""))="D"),"(D)",""))))</f>
        <v/>
      </c>
      <c r="O29" s="29">
        <f>IF('คำนวณ'!$B28=0,"",TRIM(IF(SMALL('คำนวณ'!$CF28:$CY28,4)&gt;=999999999,"","  "&amp;INDEX('ตารางเวร'!$A$10:$A$29,MATCH(SMALL('คำนวณ'!$CF28:$CY28,4),'คำนวณ'!$CF28:$CY28,0))&amp;IF(AND(TRIM('ตารางเวร'!$B$5)&lt;&gt;"",UPPER(SUBSTITUTE(INDEX('คำนวณ'!$C28:$V28,MATCH(SMALL('คำนวณ'!$CF28:$CY28,4),'คำนวณ'!$CF28:$CY28,0)),"*",""))="D"),"(D)",""))&amp;IF(SMALL('คำนวณ'!$CF28:$CY28,5)&gt;=999999999,"","  "&amp;INDEX('ตารางเวร'!$A$10:$A$29,MATCH(SMALL('คำนวณ'!$CF28:$CY28,5),'คำนวณ'!$CF28:$CY28,0))&amp;IF(AND(TRIM('ตารางเวร'!$B$5)&lt;&gt;"",UPPER(SUBSTITUTE(INDEX('คำนวณ'!$C28:$V28,MATCH(SMALL('คำนวณ'!$CF28:$CY28,5),'คำนวณ'!$CF28:$CY28,0)),"*",""))="D"),"(D)",""))&amp;IF(SMALL('คำนวณ'!$CF28:$CY28,6)&gt;=999999999,"","  "&amp;INDEX('ตารางเวร'!$A$10:$A$29,MATCH(SMALL('คำนวณ'!$CF28:$CY28,6),'คำนวณ'!$CF28:$CY28,0))&amp;IF(AND(TRIM('ตารางเวร'!$B$5)&lt;&gt;"",UPPER(SUBSTITUTE(INDEX('คำนวณ'!$C28:$V28,MATCH(SMALL('คำนวณ'!$CF28:$CY28,6),'คำนวณ'!$CF28:$CY28,0)),"*",""))="D"),"(D)",""))&amp;IF(SMALL('คำนวณ'!$CF28:$CY28,7)&gt;=999999999,"","  "&amp;INDEX('ตารางเวร'!$A$10:$A$29,MATCH(SMALL('คำนวณ'!$CF28:$CY28,7),'คำนวณ'!$CF28:$CY28,0))&amp;IF(AND(TRIM('ตารางเวร'!$B$5)&lt;&gt;"",UPPER(SUBSTITUTE(INDEX('คำนวณ'!$C28:$V28,MATCH(SMALL('คำนวณ'!$CF28:$CY28,7),'คำนวณ'!$CF28:$CY28,0)),"*",""))="D"),"(D)",""))&amp;IF(SMALL('คำนวณ'!$BK28:$CD28,9)&gt;=999999,"","  "&amp;INDEX('ตารางเวร'!$A$10:$A$29,SMALL('คำนวณ'!$BK28:$CD28,9))&amp;IF(UPPER(SUBSTITUTE(INDEX('คำนวณ'!$C28:$V28,SMALL('คำนวณ'!$BK28:$CD28,9)),"*",""))="D","(D)",""))&amp;IF(SMALL('คำนวณ'!$BK28:$CD28,10)&gt;=999999,"","  "&amp;INDEX('ตารางเวร'!$A$10:$A$29,SMALL('คำนวณ'!$BK28:$CD28,10))&amp;IF(UPPER(SUBSTITUTE(INDEX('คำนวณ'!$C28:$V28,SMALL('คำนวณ'!$BK28:$CD28,10)),"*",""))="D","(D)",""))&amp;IF(SMALL('คำนวณ'!$BK28:$CD28,11)&gt;=999999,"","  "&amp;INDEX('ตารางเวร'!$A$10:$A$29,SMALL('คำนวณ'!$BK28:$CD28,11))&amp;IF(UPPER(SUBSTITUTE(INDEX('คำนวณ'!$C28:$V28,SMALL('คำนวณ'!$BK28:$CD28,11)),"*",""))="D","(D)",""))&amp;IF(SMALL('คำนวณ'!$BK28:$CD28,12)&gt;=999999,"","  "&amp;INDEX('ตารางเวร'!$A$10:$A$29,SMALL('คำนวณ'!$BK28:$CD28,12))&amp;IF(UPPER(SUBSTITUTE(INDEX('คำนวณ'!$C28:$V28,SMALL('คำนวณ'!$BK28:$CD28,12)),"*",""))="D","(D)",""))))</f>
        <v/>
      </c>
    </row>
    <row r="30">
      <c r="A30" s="15">
        <f>IF('คำนวณ'!$B29=0,"",'คำนวณ'!$A29)</f>
        <v/>
      </c>
      <c r="B30" s="15">
        <f>IF('คำนวณ'!$B29=0,"",'ตารางเวร'!AC$9)</f>
        <v/>
      </c>
      <c r="C30" s="24">
        <f>IF('คำนวณ'!$B29=0,"",IF(SMALL('คำนวณ'!$BK29:$CD29,1)&gt;=999999,"",INDEX('ตารางเวร'!$A$10:$A$29,SMALL('คำนวณ'!$BK29:$CD29,1))&amp;IF(UPPER(SUBSTITUTE(INDEX('คำนวณ'!$C29:$V29,SMALL('คำนวณ'!$BK29:$CD29,1)),"*",""))="D","(D)","")))</f>
        <v/>
      </c>
      <c r="D30" s="24">
        <f>IF('คำนวณ'!$B29=0,"",IF(SMALL('คำนวณ'!$BK29:$CD29,2)&gt;=999999,"",INDEX('ตารางเวร'!$A$10:$A$29,SMALL('คำนวณ'!$BK29:$CD29,2))&amp;IF(UPPER(SUBSTITUTE(INDEX('คำนวณ'!$C29:$V29,SMALL('คำนวณ'!$BK29:$CD29,2)),"*",""))="D","(D)","")))</f>
        <v/>
      </c>
      <c r="E30" s="24">
        <f>IF('คำนวณ'!$B29=0,"",IF(SMALL('คำนวณ'!$BK29:$CD29,3)&gt;=999999,"",INDEX('ตารางเวร'!$A$10:$A$29,SMALL('คำนวณ'!$BK29:$CD29,3))&amp;IF(UPPER(SUBSTITUTE(INDEX('คำนวณ'!$C29:$V29,SMALL('คำนวณ'!$BK29:$CD29,3)),"*",""))="D","(D)","")))</f>
        <v/>
      </c>
      <c r="F30" s="24">
        <f>IF('คำนวณ'!$B29=0,"",IF(SMALL('คำนวณ'!$BK29:$CD29,4)&gt;=999999,"",INDEX('ตารางเวร'!$A$10:$A$29,SMALL('คำนวณ'!$BK29:$CD29,4))&amp;IF(UPPER(SUBSTITUTE(INDEX('คำนวณ'!$C29:$V29,SMALL('คำนวณ'!$BK29:$CD29,4)),"*",""))="D","(D)","")))</f>
        <v/>
      </c>
      <c r="G30" s="24">
        <f>IF('คำนวณ'!$B29=0,"",IF(SMALL('คำนวณ'!$BK29:$CD29,5)&gt;=999999,"",INDEX('ตารางเวร'!$A$10:$A$29,SMALL('คำนวณ'!$BK29:$CD29,5))&amp;IF(UPPER(SUBSTITUTE(INDEX('คำนวณ'!$C29:$V29,SMALL('คำนวณ'!$BK29:$CD29,5)),"*",""))="D","(D)","")))</f>
        <v/>
      </c>
      <c r="H30" s="24">
        <f>IF('คำนวณ'!$B29=0,"",IF(SMALL('คำนวณ'!$BK29:$CD29,6)&gt;=999999,"",INDEX('ตารางเวร'!$A$10:$A$29,SMALL('คำนวณ'!$BK29:$CD29,6))&amp;IF(UPPER(SUBSTITUTE(INDEX('คำนวณ'!$C29:$V29,SMALL('คำนวณ'!$BK29:$CD29,6)),"*",""))="D","(D)","")))</f>
        <v/>
      </c>
      <c r="I30" s="24">
        <f>IF('คำนวณ'!$B29=0,"",IF(SMALL('คำนวณ'!$BK29:$CD29,7)&gt;=999999,"",INDEX('ตารางเวร'!$A$10:$A$29,SMALL('คำนวณ'!$BK29:$CD29,7))&amp;IF(UPPER(SUBSTITUTE(INDEX('คำนวณ'!$C29:$V29,SMALL('คำนวณ'!$BK29:$CD29,7)),"*",""))="D","(D)","")))</f>
        <v/>
      </c>
      <c r="J30" s="24">
        <f>IF('คำนวณ'!$B29=0,"",IF(SMALL('คำนวณ'!$BK29:$CD29,8)&gt;=999999,"",INDEX('ตารางเวร'!$A$10:$A$29,SMALL('คำนวณ'!$BK29:$CD29,8))&amp;IF(UPPER(SUBSTITUTE(INDEX('คำนวณ'!$C29:$V29,SMALL('คำนวณ'!$BK29:$CD29,8)),"*",""))="D","(D)","")))</f>
        <v/>
      </c>
      <c r="K30" s="25">
        <f>IF(OR('คำนวณ'!$B29=0,'คำนวณ'!$CE29=0),"",INDEX('ตารางเวร'!$A$10:$A$29,'คำนวณ'!$CE29)&amp;IF(AND(TRIM('ตารางเวร'!$B$5)&lt;&gt;"",UPPER(SUBSTITUTE(INDEX('คำนวณ'!$C29:$V29,'คำนวณ'!$CE29),"*",""))="D"),"(D)",""))</f>
        <v/>
      </c>
      <c r="L30" s="26">
        <f>IF('คำนวณ'!$B29=0,"",IF('คำนวณ'!$DB29=2,"",IF(SMALL('คำนวณ'!$CF29:$CY29,1)&gt;=999999999,"",INDEX('ตารางเวร'!$A$10:$A$29,MATCH(SMALL('คำนวณ'!$CF29:$CY29,1),'คำนวณ'!$CF29:$CY29,0))&amp;IF(AND(TRIM('ตารางเวร'!$B$5)&lt;&gt;"",UPPER(SUBSTITUTE(INDEX('คำนวณ'!$C29:$V29,MATCH(SMALL('คำนวณ'!$CF29:$CY29,1),'คำนวณ'!$CF29:$CY29,0)),"*",""))="D"),"(D)",""))))</f>
        <v/>
      </c>
      <c r="M30" s="27">
        <f>IF('คำนวณ'!$B29=0,"",IF('คำนวณ'!$DB29=2,IF(SMALL('คำนวณ'!$CF29:$CY29,1)&gt;=999999999,"",INDEX('ตารางเวร'!$A$10:$A$29,MATCH(SMALL('คำนวณ'!$CF29:$CY29,1),'คำนวณ'!$CF29:$CY29,0))&amp;IF(AND(TRIM('ตารางเวร'!$B$5)&lt;&gt;"",UPPER(SUBSTITUTE(INDEX('คำนวณ'!$C29:$V29,MATCH(SMALL('คำนวณ'!$CF29:$CY29,1),'คำนวณ'!$CF29:$CY29,0)),"*",""))="D"),"(D)","")),IF(SMALL('คำนวณ'!$CF29:$CY29,2)&gt;=999999999,"",INDEX('ตารางเวร'!$A$10:$A$29,MATCH(SMALL('คำนวณ'!$CF29:$CY29,2),'คำนวณ'!$CF29:$CY29,0))&amp;IF(AND(TRIM('ตารางเวร'!$B$5)&lt;&gt;"",UPPER(SUBSTITUTE(INDEX('คำนวณ'!$C29:$V29,MATCH(SMALL('คำนวณ'!$CF29:$CY29,2),'คำนวณ'!$CF29:$CY29,0)),"*",""))="D"),"(D)",""))))</f>
        <v/>
      </c>
      <c r="N30" s="28">
        <f>IF('คำนวณ'!$B29=0,"",IF('คำนวณ'!$DB29=2,IF(SMALL('คำนวณ'!$CF29:$CY29,2)&gt;=999999999,"",INDEX('ตารางเวร'!$A$10:$A$29,MATCH(SMALL('คำนวณ'!$CF29:$CY29,2),'คำนวณ'!$CF29:$CY29,0))&amp;IF(AND(TRIM('ตารางเวร'!$B$5)&lt;&gt;"",UPPER(SUBSTITUTE(INDEX('คำนวณ'!$C29:$V29,MATCH(SMALL('คำนวณ'!$CF29:$CY29,2),'คำนวณ'!$CF29:$CY29,0)),"*",""))="D"),"(D)","")),IF(SMALL('คำนวณ'!$CF29:$CY29,3)&gt;=999999999,"",INDEX('ตารางเวร'!$A$10:$A$29,MATCH(SMALL('คำนวณ'!$CF29:$CY29,3),'คำนวณ'!$CF29:$CY29,0))&amp;IF(AND(TRIM('ตารางเวร'!$B$5)&lt;&gt;"",UPPER(SUBSTITUTE(INDEX('คำนวณ'!$C29:$V29,MATCH(SMALL('คำนวณ'!$CF29:$CY29,3),'คำนวณ'!$CF29:$CY29,0)),"*",""))="D"),"(D)",""))))</f>
        <v/>
      </c>
      <c r="O30" s="29">
        <f>IF('คำนวณ'!$B29=0,"",TRIM(IF(SMALL('คำนวณ'!$CF29:$CY29,4)&gt;=999999999,"","  "&amp;INDEX('ตารางเวร'!$A$10:$A$29,MATCH(SMALL('คำนวณ'!$CF29:$CY29,4),'คำนวณ'!$CF29:$CY29,0))&amp;IF(AND(TRIM('ตารางเวร'!$B$5)&lt;&gt;"",UPPER(SUBSTITUTE(INDEX('คำนวณ'!$C29:$V29,MATCH(SMALL('คำนวณ'!$CF29:$CY29,4),'คำนวณ'!$CF29:$CY29,0)),"*",""))="D"),"(D)",""))&amp;IF(SMALL('คำนวณ'!$CF29:$CY29,5)&gt;=999999999,"","  "&amp;INDEX('ตารางเวร'!$A$10:$A$29,MATCH(SMALL('คำนวณ'!$CF29:$CY29,5),'คำนวณ'!$CF29:$CY29,0))&amp;IF(AND(TRIM('ตารางเวร'!$B$5)&lt;&gt;"",UPPER(SUBSTITUTE(INDEX('คำนวณ'!$C29:$V29,MATCH(SMALL('คำนวณ'!$CF29:$CY29,5),'คำนวณ'!$CF29:$CY29,0)),"*",""))="D"),"(D)",""))&amp;IF(SMALL('คำนวณ'!$CF29:$CY29,6)&gt;=999999999,"","  "&amp;INDEX('ตารางเวร'!$A$10:$A$29,MATCH(SMALL('คำนวณ'!$CF29:$CY29,6),'คำนวณ'!$CF29:$CY29,0))&amp;IF(AND(TRIM('ตารางเวร'!$B$5)&lt;&gt;"",UPPER(SUBSTITUTE(INDEX('คำนวณ'!$C29:$V29,MATCH(SMALL('คำนวณ'!$CF29:$CY29,6),'คำนวณ'!$CF29:$CY29,0)),"*",""))="D"),"(D)",""))&amp;IF(SMALL('คำนวณ'!$CF29:$CY29,7)&gt;=999999999,"","  "&amp;INDEX('ตารางเวร'!$A$10:$A$29,MATCH(SMALL('คำนวณ'!$CF29:$CY29,7),'คำนวณ'!$CF29:$CY29,0))&amp;IF(AND(TRIM('ตารางเวร'!$B$5)&lt;&gt;"",UPPER(SUBSTITUTE(INDEX('คำนวณ'!$C29:$V29,MATCH(SMALL('คำนวณ'!$CF29:$CY29,7),'คำนวณ'!$CF29:$CY29,0)),"*",""))="D"),"(D)",""))&amp;IF(SMALL('คำนวณ'!$BK29:$CD29,9)&gt;=999999,"","  "&amp;INDEX('ตารางเวร'!$A$10:$A$29,SMALL('คำนวณ'!$BK29:$CD29,9))&amp;IF(UPPER(SUBSTITUTE(INDEX('คำนวณ'!$C29:$V29,SMALL('คำนวณ'!$BK29:$CD29,9)),"*",""))="D","(D)",""))&amp;IF(SMALL('คำนวณ'!$BK29:$CD29,10)&gt;=999999,"","  "&amp;INDEX('ตารางเวร'!$A$10:$A$29,SMALL('คำนวณ'!$BK29:$CD29,10))&amp;IF(UPPER(SUBSTITUTE(INDEX('คำนวณ'!$C29:$V29,SMALL('คำนวณ'!$BK29:$CD29,10)),"*",""))="D","(D)",""))&amp;IF(SMALL('คำนวณ'!$BK29:$CD29,11)&gt;=999999,"","  "&amp;INDEX('ตารางเวร'!$A$10:$A$29,SMALL('คำนวณ'!$BK29:$CD29,11))&amp;IF(UPPER(SUBSTITUTE(INDEX('คำนวณ'!$C29:$V29,SMALL('คำนวณ'!$BK29:$CD29,11)),"*",""))="D","(D)",""))&amp;IF(SMALL('คำนวณ'!$BK29:$CD29,12)&gt;=999999,"","  "&amp;INDEX('ตารางเวร'!$A$10:$A$29,SMALL('คำนวณ'!$BK29:$CD29,12))&amp;IF(UPPER(SUBSTITUTE(INDEX('คำนวณ'!$C29:$V29,SMALL('คำนวณ'!$BK29:$CD29,12)),"*",""))="D","(D)",""))))</f>
        <v/>
      </c>
    </row>
    <row r="31">
      <c r="A31" s="15">
        <f>IF('คำนวณ'!$B30=0,"",'คำนวณ'!$A30)</f>
        <v/>
      </c>
      <c r="B31" s="15">
        <f>IF('คำนวณ'!$B30=0,"",'ตารางเวร'!AD$9)</f>
        <v/>
      </c>
      <c r="C31" s="24">
        <f>IF('คำนวณ'!$B30=0,"",IF(SMALL('คำนวณ'!$BK30:$CD30,1)&gt;=999999,"",INDEX('ตารางเวร'!$A$10:$A$29,SMALL('คำนวณ'!$BK30:$CD30,1))&amp;IF(UPPER(SUBSTITUTE(INDEX('คำนวณ'!$C30:$V30,SMALL('คำนวณ'!$BK30:$CD30,1)),"*",""))="D","(D)","")))</f>
        <v/>
      </c>
      <c r="D31" s="24">
        <f>IF('คำนวณ'!$B30=0,"",IF(SMALL('คำนวณ'!$BK30:$CD30,2)&gt;=999999,"",INDEX('ตารางเวร'!$A$10:$A$29,SMALL('คำนวณ'!$BK30:$CD30,2))&amp;IF(UPPER(SUBSTITUTE(INDEX('คำนวณ'!$C30:$V30,SMALL('คำนวณ'!$BK30:$CD30,2)),"*",""))="D","(D)","")))</f>
        <v/>
      </c>
      <c r="E31" s="24">
        <f>IF('คำนวณ'!$B30=0,"",IF(SMALL('คำนวณ'!$BK30:$CD30,3)&gt;=999999,"",INDEX('ตารางเวร'!$A$10:$A$29,SMALL('คำนวณ'!$BK30:$CD30,3))&amp;IF(UPPER(SUBSTITUTE(INDEX('คำนวณ'!$C30:$V30,SMALL('คำนวณ'!$BK30:$CD30,3)),"*",""))="D","(D)","")))</f>
        <v/>
      </c>
      <c r="F31" s="24">
        <f>IF('คำนวณ'!$B30=0,"",IF(SMALL('คำนวณ'!$BK30:$CD30,4)&gt;=999999,"",INDEX('ตารางเวร'!$A$10:$A$29,SMALL('คำนวณ'!$BK30:$CD30,4))&amp;IF(UPPER(SUBSTITUTE(INDEX('คำนวณ'!$C30:$V30,SMALL('คำนวณ'!$BK30:$CD30,4)),"*",""))="D","(D)","")))</f>
        <v/>
      </c>
      <c r="G31" s="24">
        <f>IF('คำนวณ'!$B30=0,"",IF(SMALL('คำนวณ'!$BK30:$CD30,5)&gt;=999999,"",INDEX('ตารางเวร'!$A$10:$A$29,SMALL('คำนวณ'!$BK30:$CD30,5))&amp;IF(UPPER(SUBSTITUTE(INDEX('คำนวณ'!$C30:$V30,SMALL('คำนวณ'!$BK30:$CD30,5)),"*",""))="D","(D)","")))</f>
        <v/>
      </c>
      <c r="H31" s="24">
        <f>IF('คำนวณ'!$B30=0,"",IF(SMALL('คำนวณ'!$BK30:$CD30,6)&gt;=999999,"",INDEX('ตารางเวร'!$A$10:$A$29,SMALL('คำนวณ'!$BK30:$CD30,6))&amp;IF(UPPER(SUBSTITUTE(INDEX('คำนวณ'!$C30:$V30,SMALL('คำนวณ'!$BK30:$CD30,6)),"*",""))="D","(D)","")))</f>
        <v/>
      </c>
      <c r="I31" s="24">
        <f>IF('คำนวณ'!$B30=0,"",IF(SMALL('คำนวณ'!$BK30:$CD30,7)&gt;=999999,"",INDEX('ตารางเวร'!$A$10:$A$29,SMALL('คำนวณ'!$BK30:$CD30,7))&amp;IF(UPPER(SUBSTITUTE(INDEX('คำนวณ'!$C30:$V30,SMALL('คำนวณ'!$BK30:$CD30,7)),"*",""))="D","(D)","")))</f>
        <v/>
      </c>
      <c r="J31" s="24">
        <f>IF('คำนวณ'!$B30=0,"",IF(SMALL('คำนวณ'!$BK30:$CD30,8)&gt;=999999,"",INDEX('ตารางเวร'!$A$10:$A$29,SMALL('คำนวณ'!$BK30:$CD30,8))&amp;IF(UPPER(SUBSTITUTE(INDEX('คำนวณ'!$C30:$V30,SMALL('คำนวณ'!$BK30:$CD30,8)),"*",""))="D","(D)","")))</f>
        <v/>
      </c>
      <c r="K31" s="25">
        <f>IF(OR('คำนวณ'!$B30=0,'คำนวณ'!$CE30=0),"",INDEX('ตารางเวร'!$A$10:$A$29,'คำนวณ'!$CE30)&amp;IF(AND(TRIM('ตารางเวร'!$B$5)&lt;&gt;"",UPPER(SUBSTITUTE(INDEX('คำนวณ'!$C30:$V30,'คำนวณ'!$CE30),"*",""))="D"),"(D)",""))</f>
        <v/>
      </c>
      <c r="L31" s="26">
        <f>IF('คำนวณ'!$B30=0,"",IF('คำนวณ'!$DB30=2,"",IF(SMALL('คำนวณ'!$CF30:$CY30,1)&gt;=999999999,"",INDEX('ตารางเวร'!$A$10:$A$29,MATCH(SMALL('คำนวณ'!$CF30:$CY30,1),'คำนวณ'!$CF30:$CY30,0))&amp;IF(AND(TRIM('ตารางเวร'!$B$5)&lt;&gt;"",UPPER(SUBSTITUTE(INDEX('คำนวณ'!$C30:$V30,MATCH(SMALL('คำนวณ'!$CF30:$CY30,1),'คำนวณ'!$CF30:$CY30,0)),"*",""))="D"),"(D)",""))))</f>
        <v/>
      </c>
      <c r="M31" s="27">
        <f>IF('คำนวณ'!$B30=0,"",IF('คำนวณ'!$DB30=2,IF(SMALL('คำนวณ'!$CF30:$CY30,1)&gt;=999999999,"",INDEX('ตารางเวร'!$A$10:$A$29,MATCH(SMALL('คำนวณ'!$CF30:$CY30,1),'คำนวณ'!$CF30:$CY30,0))&amp;IF(AND(TRIM('ตารางเวร'!$B$5)&lt;&gt;"",UPPER(SUBSTITUTE(INDEX('คำนวณ'!$C30:$V30,MATCH(SMALL('คำนวณ'!$CF30:$CY30,1),'คำนวณ'!$CF30:$CY30,0)),"*",""))="D"),"(D)","")),IF(SMALL('คำนวณ'!$CF30:$CY30,2)&gt;=999999999,"",INDEX('ตารางเวร'!$A$10:$A$29,MATCH(SMALL('คำนวณ'!$CF30:$CY30,2),'คำนวณ'!$CF30:$CY30,0))&amp;IF(AND(TRIM('ตารางเวร'!$B$5)&lt;&gt;"",UPPER(SUBSTITUTE(INDEX('คำนวณ'!$C30:$V30,MATCH(SMALL('คำนวณ'!$CF30:$CY30,2),'คำนวณ'!$CF30:$CY30,0)),"*",""))="D"),"(D)",""))))</f>
        <v/>
      </c>
      <c r="N31" s="28">
        <f>IF('คำนวณ'!$B30=0,"",IF('คำนวณ'!$DB30=2,IF(SMALL('คำนวณ'!$CF30:$CY30,2)&gt;=999999999,"",INDEX('ตารางเวร'!$A$10:$A$29,MATCH(SMALL('คำนวณ'!$CF30:$CY30,2),'คำนวณ'!$CF30:$CY30,0))&amp;IF(AND(TRIM('ตารางเวร'!$B$5)&lt;&gt;"",UPPER(SUBSTITUTE(INDEX('คำนวณ'!$C30:$V30,MATCH(SMALL('คำนวณ'!$CF30:$CY30,2),'คำนวณ'!$CF30:$CY30,0)),"*",""))="D"),"(D)","")),IF(SMALL('คำนวณ'!$CF30:$CY30,3)&gt;=999999999,"",INDEX('ตารางเวร'!$A$10:$A$29,MATCH(SMALL('คำนวณ'!$CF30:$CY30,3),'คำนวณ'!$CF30:$CY30,0))&amp;IF(AND(TRIM('ตารางเวร'!$B$5)&lt;&gt;"",UPPER(SUBSTITUTE(INDEX('คำนวณ'!$C30:$V30,MATCH(SMALL('คำนวณ'!$CF30:$CY30,3),'คำนวณ'!$CF30:$CY30,0)),"*",""))="D"),"(D)",""))))</f>
        <v/>
      </c>
      <c r="O31" s="29">
        <f>IF('คำนวณ'!$B30=0,"",TRIM(IF(SMALL('คำนวณ'!$CF30:$CY30,4)&gt;=999999999,"","  "&amp;INDEX('ตารางเวร'!$A$10:$A$29,MATCH(SMALL('คำนวณ'!$CF30:$CY30,4),'คำนวณ'!$CF30:$CY30,0))&amp;IF(AND(TRIM('ตารางเวร'!$B$5)&lt;&gt;"",UPPER(SUBSTITUTE(INDEX('คำนวณ'!$C30:$V30,MATCH(SMALL('คำนวณ'!$CF30:$CY30,4),'คำนวณ'!$CF30:$CY30,0)),"*",""))="D"),"(D)",""))&amp;IF(SMALL('คำนวณ'!$CF30:$CY30,5)&gt;=999999999,"","  "&amp;INDEX('ตารางเวร'!$A$10:$A$29,MATCH(SMALL('คำนวณ'!$CF30:$CY30,5),'คำนวณ'!$CF30:$CY30,0))&amp;IF(AND(TRIM('ตารางเวร'!$B$5)&lt;&gt;"",UPPER(SUBSTITUTE(INDEX('คำนวณ'!$C30:$V30,MATCH(SMALL('คำนวณ'!$CF30:$CY30,5),'คำนวณ'!$CF30:$CY30,0)),"*",""))="D"),"(D)",""))&amp;IF(SMALL('คำนวณ'!$CF30:$CY30,6)&gt;=999999999,"","  "&amp;INDEX('ตารางเวร'!$A$10:$A$29,MATCH(SMALL('คำนวณ'!$CF30:$CY30,6),'คำนวณ'!$CF30:$CY30,0))&amp;IF(AND(TRIM('ตารางเวร'!$B$5)&lt;&gt;"",UPPER(SUBSTITUTE(INDEX('คำนวณ'!$C30:$V30,MATCH(SMALL('คำนวณ'!$CF30:$CY30,6),'คำนวณ'!$CF30:$CY30,0)),"*",""))="D"),"(D)",""))&amp;IF(SMALL('คำนวณ'!$CF30:$CY30,7)&gt;=999999999,"","  "&amp;INDEX('ตารางเวร'!$A$10:$A$29,MATCH(SMALL('คำนวณ'!$CF30:$CY30,7),'คำนวณ'!$CF30:$CY30,0))&amp;IF(AND(TRIM('ตารางเวร'!$B$5)&lt;&gt;"",UPPER(SUBSTITUTE(INDEX('คำนวณ'!$C30:$V30,MATCH(SMALL('คำนวณ'!$CF30:$CY30,7),'คำนวณ'!$CF30:$CY30,0)),"*",""))="D"),"(D)",""))&amp;IF(SMALL('คำนวณ'!$BK30:$CD30,9)&gt;=999999,"","  "&amp;INDEX('ตารางเวร'!$A$10:$A$29,SMALL('คำนวณ'!$BK30:$CD30,9))&amp;IF(UPPER(SUBSTITUTE(INDEX('คำนวณ'!$C30:$V30,SMALL('คำนวณ'!$BK30:$CD30,9)),"*",""))="D","(D)",""))&amp;IF(SMALL('คำนวณ'!$BK30:$CD30,10)&gt;=999999,"","  "&amp;INDEX('ตารางเวร'!$A$10:$A$29,SMALL('คำนวณ'!$BK30:$CD30,10))&amp;IF(UPPER(SUBSTITUTE(INDEX('คำนวณ'!$C30:$V30,SMALL('คำนวณ'!$BK30:$CD30,10)),"*",""))="D","(D)",""))&amp;IF(SMALL('คำนวณ'!$BK30:$CD30,11)&gt;=999999,"","  "&amp;INDEX('ตารางเวร'!$A$10:$A$29,SMALL('คำนวณ'!$BK30:$CD30,11))&amp;IF(UPPER(SUBSTITUTE(INDEX('คำนวณ'!$C30:$V30,SMALL('คำนวณ'!$BK30:$CD30,11)),"*",""))="D","(D)",""))&amp;IF(SMALL('คำนวณ'!$BK30:$CD30,12)&gt;=999999,"","  "&amp;INDEX('ตารางเวร'!$A$10:$A$29,SMALL('คำนวณ'!$BK30:$CD30,12))&amp;IF(UPPER(SUBSTITUTE(INDEX('คำนวณ'!$C30:$V30,SMALL('คำนวณ'!$BK30:$CD30,12)),"*",""))="D","(D)",""))))</f>
        <v/>
      </c>
    </row>
    <row r="32">
      <c r="A32" s="15">
        <f>IF('คำนวณ'!$B31=0,"",'คำนวณ'!$A31)</f>
        <v/>
      </c>
      <c r="B32" s="15">
        <f>IF('คำนวณ'!$B31=0,"",'ตารางเวร'!AE$9)</f>
        <v/>
      </c>
      <c r="C32" s="24">
        <f>IF('คำนวณ'!$B31=0,"",IF(SMALL('คำนวณ'!$BK31:$CD31,1)&gt;=999999,"",INDEX('ตารางเวร'!$A$10:$A$29,SMALL('คำนวณ'!$BK31:$CD31,1))&amp;IF(UPPER(SUBSTITUTE(INDEX('คำนวณ'!$C31:$V31,SMALL('คำนวณ'!$BK31:$CD31,1)),"*",""))="D","(D)","")))</f>
        <v/>
      </c>
      <c r="D32" s="24">
        <f>IF('คำนวณ'!$B31=0,"",IF(SMALL('คำนวณ'!$BK31:$CD31,2)&gt;=999999,"",INDEX('ตารางเวร'!$A$10:$A$29,SMALL('คำนวณ'!$BK31:$CD31,2))&amp;IF(UPPER(SUBSTITUTE(INDEX('คำนวณ'!$C31:$V31,SMALL('คำนวณ'!$BK31:$CD31,2)),"*",""))="D","(D)","")))</f>
        <v/>
      </c>
      <c r="E32" s="24">
        <f>IF('คำนวณ'!$B31=0,"",IF(SMALL('คำนวณ'!$BK31:$CD31,3)&gt;=999999,"",INDEX('ตารางเวร'!$A$10:$A$29,SMALL('คำนวณ'!$BK31:$CD31,3))&amp;IF(UPPER(SUBSTITUTE(INDEX('คำนวณ'!$C31:$V31,SMALL('คำนวณ'!$BK31:$CD31,3)),"*",""))="D","(D)","")))</f>
        <v/>
      </c>
      <c r="F32" s="24">
        <f>IF('คำนวณ'!$B31=0,"",IF(SMALL('คำนวณ'!$BK31:$CD31,4)&gt;=999999,"",INDEX('ตารางเวร'!$A$10:$A$29,SMALL('คำนวณ'!$BK31:$CD31,4))&amp;IF(UPPER(SUBSTITUTE(INDEX('คำนวณ'!$C31:$V31,SMALL('คำนวณ'!$BK31:$CD31,4)),"*",""))="D","(D)","")))</f>
        <v/>
      </c>
      <c r="G32" s="24">
        <f>IF('คำนวณ'!$B31=0,"",IF(SMALL('คำนวณ'!$BK31:$CD31,5)&gt;=999999,"",INDEX('ตารางเวร'!$A$10:$A$29,SMALL('คำนวณ'!$BK31:$CD31,5))&amp;IF(UPPER(SUBSTITUTE(INDEX('คำนวณ'!$C31:$V31,SMALL('คำนวณ'!$BK31:$CD31,5)),"*",""))="D","(D)","")))</f>
        <v/>
      </c>
      <c r="H32" s="24">
        <f>IF('คำนวณ'!$B31=0,"",IF(SMALL('คำนวณ'!$BK31:$CD31,6)&gt;=999999,"",INDEX('ตารางเวร'!$A$10:$A$29,SMALL('คำนวณ'!$BK31:$CD31,6))&amp;IF(UPPER(SUBSTITUTE(INDEX('คำนวณ'!$C31:$V31,SMALL('คำนวณ'!$BK31:$CD31,6)),"*",""))="D","(D)","")))</f>
        <v/>
      </c>
      <c r="I32" s="24">
        <f>IF('คำนวณ'!$B31=0,"",IF(SMALL('คำนวณ'!$BK31:$CD31,7)&gt;=999999,"",INDEX('ตารางเวร'!$A$10:$A$29,SMALL('คำนวณ'!$BK31:$CD31,7))&amp;IF(UPPER(SUBSTITUTE(INDEX('คำนวณ'!$C31:$V31,SMALL('คำนวณ'!$BK31:$CD31,7)),"*",""))="D","(D)","")))</f>
        <v/>
      </c>
      <c r="J32" s="24">
        <f>IF('คำนวณ'!$B31=0,"",IF(SMALL('คำนวณ'!$BK31:$CD31,8)&gt;=999999,"",INDEX('ตารางเวร'!$A$10:$A$29,SMALL('คำนวณ'!$BK31:$CD31,8))&amp;IF(UPPER(SUBSTITUTE(INDEX('คำนวณ'!$C31:$V31,SMALL('คำนวณ'!$BK31:$CD31,8)),"*",""))="D","(D)","")))</f>
        <v/>
      </c>
      <c r="K32" s="25">
        <f>IF(OR('คำนวณ'!$B31=0,'คำนวณ'!$CE31=0),"",INDEX('ตารางเวร'!$A$10:$A$29,'คำนวณ'!$CE31)&amp;IF(AND(TRIM('ตารางเวร'!$B$5)&lt;&gt;"",UPPER(SUBSTITUTE(INDEX('คำนวณ'!$C31:$V31,'คำนวณ'!$CE31),"*",""))="D"),"(D)",""))</f>
        <v/>
      </c>
      <c r="L32" s="26">
        <f>IF('คำนวณ'!$B31=0,"",IF('คำนวณ'!$DB31=2,"",IF(SMALL('คำนวณ'!$CF31:$CY31,1)&gt;=999999999,"",INDEX('ตารางเวร'!$A$10:$A$29,MATCH(SMALL('คำนวณ'!$CF31:$CY31,1),'คำนวณ'!$CF31:$CY31,0))&amp;IF(AND(TRIM('ตารางเวร'!$B$5)&lt;&gt;"",UPPER(SUBSTITUTE(INDEX('คำนวณ'!$C31:$V31,MATCH(SMALL('คำนวณ'!$CF31:$CY31,1),'คำนวณ'!$CF31:$CY31,0)),"*",""))="D"),"(D)",""))))</f>
        <v/>
      </c>
      <c r="M32" s="27">
        <f>IF('คำนวณ'!$B31=0,"",IF('คำนวณ'!$DB31=2,IF(SMALL('คำนวณ'!$CF31:$CY31,1)&gt;=999999999,"",INDEX('ตารางเวร'!$A$10:$A$29,MATCH(SMALL('คำนวณ'!$CF31:$CY31,1),'คำนวณ'!$CF31:$CY31,0))&amp;IF(AND(TRIM('ตารางเวร'!$B$5)&lt;&gt;"",UPPER(SUBSTITUTE(INDEX('คำนวณ'!$C31:$V31,MATCH(SMALL('คำนวณ'!$CF31:$CY31,1),'คำนวณ'!$CF31:$CY31,0)),"*",""))="D"),"(D)","")),IF(SMALL('คำนวณ'!$CF31:$CY31,2)&gt;=999999999,"",INDEX('ตารางเวร'!$A$10:$A$29,MATCH(SMALL('คำนวณ'!$CF31:$CY31,2),'คำนวณ'!$CF31:$CY31,0))&amp;IF(AND(TRIM('ตารางเวร'!$B$5)&lt;&gt;"",UPPER(SUBSTITUTE(INDEX('คำนวณ'!$C31:$V31,MATCH(SMALL('คำนวณ'!$CF31:$CY31,2),'คำนวณ'!$CF31:$CY31,0)),"*",""))="D"),"(D)",""))))</f>
        <v/>
      </c>
      <c r="N32" s="28">
        <f>IF('คำนวณ'!$B31=0,"",IF('คำนวณ'!$DB31=2,IF(SMALL('คำนวณ'!$CF31:$CY31,2)&gt;=999999999,"",INDEX('ตารางเวร'!$A$10:$A$29,MATCH(SMALL('คำนวณ'!$CF31:$CY31,2),'คำนวณ'!$CF31:$CY31,0))&amp;IF(AND(TRIM('ตารางเวร'!$B$5)&lt;&gt;"",UPPER(SUBSTITUTE(INDEX('คำนวณ'!$C31:$V31,MATCH(SMALL('คำนวณ'!$CF31:$CY31,2),'คำนวณ'!$CF31:$CY31,0)),"*",""))="D"),"(D)","")),IF(SMALL('คำนวณ'!$CF31:$CY31,3)&gt;=999999999,"",INDEX('ตารางเวร'!$A$10:$A$29,MATCH(SMALL('คำนวณ'!$CF31:$CY31,3),'คำนวณ'!$CF31:$CY31,0))&amp;IF(AND(TRIM('ตารางเวร'!$B$5)&lt;&gt;"",UPPER(SUBSTITUTE(INDEX('คำนวณ'!$C31:$V31,MATCH(SMALL('คำนวณ'!$CF31:$CY31,3),'คำนวณ'!$CF31:$CY31,0)),"*",""))="D"),"(D)",""))))</f>
        <v/>
      </c>
      <c r="O32" s="29">
        <f>IF('คำนวณ'!$B31=0,"",TRIM(IF(SMALL('คำนวณ'!$CF31:$CY31,4)&gt;=999999999,"","  "&amp;INDEX('ตารางเวร'!$A$10:$A$29,MATCH(SMALL('คำนวณ'!$CF31:$CY31,4),'คำนวณ'!$CF31:$CY31,0))&amp;IF(AND(TRIM('ตารางเวร'!$B$5)&lt;&gt;"",UPPER(SUBSTITUTE(INDEX('คำนวณ'!$C31:$V31,MATCH(SMALL('คำนวณ'!$CF31:$CY31,4),'คำนวณ'!$CF31:$CY31,0)),"*",""))="D"),"(D)",""))&amp;IF(SMALL('คำนวณ'!$CF31:$CY31,5)&gt;=999999999,"","  "&amp;INDEX('ตารางเวร'!$A$10:$A$29,MATCH(SMALL('คำนวณ'!$CF31:$CY31,5),'คำนวณ'!$CF31:$CY31,0))&amp;IF(AND(TRIM('ตารางเวร'!$B$5)&lt;&gt;"",UPPER(SUBSTITUTE(INDEX('คำนวณ'!$C31:$V31,MATCH(SMALL('คำนวณ'!$CF31:$CY31,5),'คำนวณ'!$CF31:$CY31,0)),"*",""))="D"),"(D)",""))&amp;IF(SMALL('คำนวณ'!$CF31:$CY31,6)&gt;=999999999,"","  "&amp;INDEX('ตารางเวร'!$A$10:$A$29,MATCH(SMALL('คำนวณ'!$CF31:$CY31,6),'คำนวณ'!$CF31:$CY31,0))&amp;IF(AND(TRIM('ตารางเวร'!$B$5)&lt;&gt;"",UPPER(SUBSTITUTE(INDEX('คำนวณ'!$C31:$V31,MATCH(SMALL('คำนวณ'!$CF31:$CY31,6),'คำนวณ'!$CF31:$CY31,0)),"*",""))="D"),"(D)",""))&amp;IF(SMALL('คำนวณ'!$CF31:$CY31,7)&gt;=999999999,"","  "&amp;INDEX('ตารางเวร'!$A$10:$A$29,MATCH(SMALL('คำนวณ'!$CF31:$CY31,7),'คำนวณ'!$CF31:$CY31,0))&amp;IF(AND(TRIM('ตารางเวร'!$B$5)&lt;&gt;"",UPPER(SUBSTITUTE(INDEX('คำนวณ'!$C31:$V31,MATCH(SMALL('คำนวณ'!$CF31:$CY31,7),'คำนวณ'!$CF31:$CY31,0)),"*",""))="D"),"(D)",""))&amp;IF(SMALL('คำนวณ'!$BK31:$CD31,9)&gt;=999999,"","  "&amp;INDEX('ตารางเวร'!$A$10:$A$29,SMALL('คำนวณ'!$BK31:$CD31,9))&amp;IF(UPPER(SUBSTITUTE(INDEX('คำนวณ'!$C31:$V31,SMALL('คำนวณ'!$BK31:$CD31,9)),"*",""))="D","(D)",""))&amp;IF(SMALL('คำนวณ'!$BK31:$CD31,10)&gt;=999999,"","  "&amp;INDEX('ตารางเวร'!$A$10:$A$29,SMALL('คำนวณ'!$BK31:$CD31,10))&amp;IF(UPPER(SUBSTITUTE(INDEX('คำนวณ'!$C31:$V31,SMALL('คำนวณ'!$BK31:$CD31,10)),"*",""))="D","(D)",""))&amp;IF(SMALL('คำนวณ'!$BK31:$CD31,11)&gt;=999999,"","  "&amp;INDEX('ตารางเวร'!$A$10:$A$29,SMALL('คำนวณ'!$BK31:$CD31,11))&amp;IF(UPPER(SUBSTITUTE(INDEX('คำนวณ'!$C31:$V31,SMALL('คำนวณ'!$BK31:$CD31,11)),"*",""))="D","(D)",""))&amp;IF(SMALL('คำนวณ'!$BK31:$CD31,12)&gt;=999999,"","  "&amp;INDEX('ตารางเวร'!$A$10:$A$29,SMALL('คำนวณ'!$BK31:$CD31,12))&amp;IF(UPPER(SUBSTITUTE(INDEX('คำนวณ'!$C31:$V31,SMALL('คำนวณ'!$BK31:$CD31,12)),"*",""))="D","(D)",""))))</f>
        <v/>
      </c>
    </row>
    <row r="33">
      <c r="A33" s="15">
        <f>IF('คำนวณ'!$B32=0,"",'คำนวณ'!$A32)</f>
        <v/>
      </c>
      <c r="B33" s="15">
        <f>IF('คำนวณ'!$B32=0,"",'ตารางเวร'!AF$9)</f>
        <v/>
      </c>
      <c r="C33" s="24">
        <f>IF('คำนวณ'!$B32=0,"",IF(SMALL('คำนวณ'!$BK32:$CD32,1)&gt;=999999,"",INDEX('ตารางเวร'!$A$10:$A$29,SMALL('คำนวณ'!$BK32:$CD32,1))&amp;IF(UPPER(SUBSTITUTE(INDEX('คำนวณ'!$C32:$V32,SMALL('คำนวณ'!$BK32:$CD32,1)),"*",""))="D","(D)","")))</f>
        <v/>
      </c>
      <c r="D33" s="24">
        <f>IF('คำนวณ'!$B32=0,"",IF(SMALL('คำนวณ'!$BK32:$CD32,2)&gt;=999999,"",INDEX('ตารางเวร'!$A$10:$A$29,SMALL('คำนวณ'!$BK32:$CD32,2))&amp;IF(UPPER(SUBSTITUTE(INDEX('คำนวณ'!$C32:$V32,SMALL('คำนวณ'!$BK32:$CD32,2)),"*",""))="D","(D)","")))</f>
        <v/>
      </c>
      <c r="E33" s="24">
        <f>IF('คำนวณ'!$B32=0,"",IF(SMALL('คำนวณ'!$BK32:$CD32,3)&gt;=999999,"",INDEX('ตารางเวร'!$A$10:$A$29,SMALL('คำนวณ'!$BK32:$CD32,3))&amp;IF(UPPER(SUBSTITUTE(INDEX('คำนวณ'!$C32:$V32,SMALL('คำนวณ'!$BK32:$CD32,3)),"*",""))="D","(D)","")))</f>
        <v/>
      </c>
      <c r="F33" s="24">
        <f>IF('คำนวณ'!$B32=0,"",IF(SMALL('คำนวณ'!$BK32:$CD32,4)&gt;=999999,"",INDEX('ตารางเวร'!$A$10:$A$29,SMALL('คำนวณ'!$BK32:$CD32,4))&amp;IF(UPPER(SUBSTITUTE(INDEX('คำนวณ'!$C32:$V32,SMALL('คำนวณ'!$BK32:$CD32,4)),"*",""))="D","(D)","")))</f>
        <v/>
      </c>
      <c r="G33" s="24">
        <f>IF('คำนวณ'!$B32=0,"",IF(SMALL('คำนวณ'!$BK32:$CD32,5)&gt;=999999,"",INDEX('ตารางเวร'!$A$10:$A$29,SMALL('คำนวณ'!$BK32:$CD32,5))&amp;IF(UPPER(SUBSTITUTE(INDEX('คำนวณ'!$C32:$V32,SMALL('คำนวณ'!$BK32:$CD32,5)),"*",""))="D","(D)","")))</f>
        <v/>
      </c>
      <c r="H33" s="24">
        <f>IF('คำนวณ'!$B32=0,"",IF(SMALL('คำนวณ'!$BK32:$CD32,6)&gt;=999999,"",INDEX('ตารางเวร'!$A$10:$A$29,SMALL('คำนวณ'!$BK32:$CD32,6))&amp;IF(UPPER(SUBSTITUTE(INDEX('คำนวณ'!$C32:$V32,SMALL('คำนวณ'!$BK32:$CD32,6)),"*",""))="D","(D)","")))</f>
        <v/>
      </c>
      <c r="I33" s="24">
        <f>IF('คำนวณ'!$B32=0,"",IF(SMALL('คำนวณ'!$BK32:$CD32,7)&gt;=999999,"",INDEX('ตารางเวร'!$A$10:$A$29,SMALL('คำนวณ'!$BK32:$CD32,7))&amp;IF(UPPER(SUBSTITUTE(INDEX('คำนวณ'!$C32:$V32,SMALL('คำนวณ'!$BK32:$CD32,7)),"*",""))="D","(D)","")))</f>
        <v/>
      </c>
      <c r="J33" s="24">
        <f>IF('คำนวณ'!$B32=0,"",IF(SMALL('คำนวณ'!$BK32:$CD32,8)&gt;=999999,"",INDEX('ตารางเวร'!$A$10:$A$29,SMALL('คำนวณ'!$BK32:$CD32,8))&amp;IF(UPPER(SUBSTITUTE(INDEX('คำนวณ'!$C32:$V32,SMALL('คำนวณ'!$BK32:$CD32,8)),"*",""))="D","(D)","")))</f>
        <v/>
      </c>
      <c r="K33" s="25">
        <f>IF(OR('คำนวณ'!$B32=0,'คำนวณ'!$CE32=0),"",INDEX('ตารางเวร'!$A$10:$A$29,'คำนวณ'!$CE32)&amp;IF(AND(TRIM('ตารางเวร'!$B$5)&lt;&gt;"",UPPER(SUBSTITUTE(INDEX('คำนวณ'!$C32:$V32,'คำนวณ'!$CE32),"*",""))="D"),"(D)",""))</f>
        <v/>
      </c>
      <c r="L33" s="26">
        <f>IF('คำนวณ'!$B32=0,"",IF('คำนวณ'!$DB32=2,"",IF(SMALL('คำนวณ'!$CF32:$CY32,1)&gt;=999999999,"",INDEX('ตารางเวร'!$A$10:$A$29,MATCH(SMALL('คำนวณ'!$CF32:$CY32,1),'คำนวณ'!$CF32:$CY32,0))&amp;IF(AND(TRIM('ตารางเวร'!$B$5)&lt;&gt;"",UPPER(SUBSTITUTE(INDEX('คำนวณ'!$C32:$V32,MATCH(SMALL('คำนวณ'!$CF32:$CY32,1),'คำนวณ'!$CF32:$CY32,0)),"*",""))="D"),"(D)",""))))</f>
        <v/>
      </c>
      <c r="M33" s="27">
        <f>IF('คำนวณ'!$B32=0,"",IF('คำนวณ'!$DB32=2,IF(SMALL('คำนวณ'!$CF32:$CY32,1)&gt;=999999999,"",INDEX('ตารางเวร'!$A$10:$A$29,MATCH(SMALL('คำนวณ'!$CF32:$CY32,1),'คำนวณ'!$CF32:$CY32,0))&amp;IF(AND(TRIM('ตารางเวร'!$B$5)&lt;&gt;"",UPPER(SUBSTITUTE(INDEX('คำนวณ'!$C32:$V32,MATCH(SMALL('คำนวณ'!$CF32:$CY32,1),'คำนวณ'!$CF32:$CY32,0)),"*",""))="D"),"(D)","")),IF(SMALL('คำนวณ'!$CF32:$CY32,2)&gt;=999999999,"",INDEX('ตารางเวร'!$A$10:$A$29,MATCH(SMALL('คำนวณ'!$CF32:$CY32,2),'คำนวณ'!$CF32:$CY32,0))&amp;IF(AND(TRIM('ตารางเวร'!$B$5)&lt;&gt;"",UPPER(SUBSTITUTE(INDEX('คำนวณ'!$C32:$V32,MATCH(SMALL('คำนวณ'!$CF32:$CY32,2),'คำนวณ'!$CF32:$CY32,0)),"*",""))="D"),"(D)",""))))</f>
        <v/>
      </c>
      <c r="N33" s="28">
        <f>IF('คำนวณ'!$B32=0,"",IF('คำนวณ'!$DB32=2,IF(SMALL('คำนวณ'!$CF32:$CY32,2)&gt;=999999999,"",INDEX('ตารางเวร'!$A$10:$A$29,MATCH(SMALL('คำนวณ'!$CF32:$CY32,2),'คำนวณ'!$CF32:$CY32,0))&amp;IF(AND(TRIM('ตารางเวร'!$B$5)&lt;&gt;"",UPPER(SUBSTITUTE(INDEX('คำนวณ'!$C32:$V32,MATCH(SMALL('คำนวณ'!$CF32:$CY32,2),'คำนวณ'!$CF32:$CY32,0)),"*",""))="D"),"(D)","")),IF(SMALL('คำนวณ'!$CF32:$CY32,3)&gt;=999999999,"",INDEX('ตารางเวร'!$A$10:$A$29,MATCH(SMALL('คำนวณ'!$CF32:$CY32,3),'คำนวณ'!$CF32:$CY32,0))&amp;IF(AND(TRIM('ตารางเวร'!$B$5)&lt;&gt;"",UPPER(SUBSTITUTE(INDEX('คำนวณ'!$C32:$V32,MATCH(SMALL('คำนวณ'!$CF32:$CY32,3),'คำนวณ'!$CF32:$CY32,0)),"*",""))="D"),"(D)",""))))</f>
        <v/>
      </c>
      <c r="O33" s="29">
        <f>IF('คำนวณ'!$B32=0,"",TRIM(IF(SMALL('คำนวณ'!$CF32:$CY32,4)&gt;=999999999,"","  "&amp;INDEX('ตารางเวร'!$A$10:$A$29,MATCH(SMALL('คำนวณ'!$CF32:$CY32,4),'คำนวณ'!$CF32:$CY32,0))&amp;IF(AND(TRIM('ตารางเวร'!$B$5)&lt;&gt;"",UPPER(SUBSTITUTE(INDEX('คำนวณ'!$C32:$V32,MATCH(SMALL('คำนวณ'!$CF32:$CY32,4),'คำนวณ'!$CF32:$CY32,0)),"*",""))="D"),"(D)",""))&amp;IF(SMALL('คำนวณ'!$CF32:$CY32,5)&gt;=999999999,"","  "&amp;INDEX('ตารางเวร'!$A$10:$A$29,MATCH(SMALL('คำนวณ'!$CF32:$CY32,5),'คำนวณ'!$CF32:$CY32,0))&amp;IF(AND(TRIM('ตารางเวร'!$B$5)&lt;&gt;"",UPPER(SUBSTITUTE(INDEX('คำนวณ'!$C32:$V32,MATCH(SMALL('คำนวณ'!$CF32:$CY32,5),'คำนวณ'!$CF32:$CY32,0)),"*",""))="D"),"(D)",""))&amp;IF(SMALL('คำนวณ'!$CF32:$CY32,6)&gt;=999999999,"","  "&amp;INDEX('ตารางเวร'!$A$10:$A$29,MATCH(SMALL('คำนวณ'!$CF32:$CY32,6),'คำนวณ'!$CF32:$CY32,0))&amp;IF(AND(TRIM('ตารางเวร'!$B$5)&lt;&gt;"",UPPER(SUBSTITUTE(INDEX('คำนวณ'!$C32:$V32,MATCH(SMALL('คำนวณ'!$CF32:$CY32,6),'คำนวณ'!$CF32:$CY32,0)),"*",""))="D"),"(D)",""))&amp;IF(SMALL('คำนวณ'!$CF32:$CY32,7)&gt;=999999999,"","  "&amp;INDEX('ตารางเวร'!$A$10:$A$29,MATCH(SMALL('คำนวณ'!$CF32:$CY32,7),'คำนวณ'!$CF32:$CY32,0))&amp;IF(AND(TRIM('ตารางเวร'!$B$5)&lt;&gt;"",UPPER(SUBSTITUTE(INDEX('คำนวณ'!$C32:$V32,MATCH(SMALL('คำนวณ'!$CF32:$CY32,7),'คำนวณ'!$CF32:$CY32,0)),"*",""))="D"),"(D)",""))&amp;IF(SMALL('คำนวณ'!$BK32:$CD32,9)&gt;=999999,"","  "&amp;INDEX('ตารางเวร'!$A$10:$A$29,SMALL('คำนวณ'!$BK32:$CD32,9))&amp;IF(UPPER(SUBSTITUTE(INDEX('คำนวณ'!$C32:$V32,SMALL('คำนวณ'!$BK32:$CD32,9)),"*",""))="D","(D)",""))&amp;IF(SMALL('คำนวณ'!$BK32:$CD32,10)&gt;=999999,"","  "&amp;INDEX('ตารางเวร'!$A$10:$A$29,SMALL('คำนวณ'!$BK32:$CD32,10))&amp;IF(UPPER(SUBSTITUTE(INDEX('คำนวณ'!$C32:$V32,SMALL('คำนวณ'!$BK32:$CD32,10)),"*",""))="D","(D)",""))&amp;IF(SMALL('คำนวณ'!$BK32:$CD32,11)&gt;=999999,"","  "&amp;INDEX('ตารางเวร'!$A$10:$A$29,SMALL('คำนวณ'!$BK32:$CD32,11))&amp;IF(UPPER(SUBSTITUTE(INDEX('คำนวณ'!$C32:$V32,SMALL('คำนวณ'!$BK32:$CD32,11)),"*",""))="D","(D)",""))&amp;IF(SMALL('คำนวณ'!$BK32:$CD32,12)&gt;=999999,"","  "&amp;INDEX('ตารางเวร'!$A$10:$A$29,SMALL('คำนวณ'!$BK32:$CD32,12))&amp;IF(UPPER(SUBSTITUTE(INDEX('คำนวณ'!$C32:$V32,SMALL('คำนวณ'!$BK32:$CD32,12)),"*",""))="D","(D)",""))))</f>
        <v/>
      </c>
    </row>
    <row r="34">
      <c r="A34" s="15">
        <f>IF('คำนวณ'!$B33=0,"",'คำนวณ'!$A33)</f>
        <v/>
      </c>
      <c r="B34" s="15">
        <f>IF('คำนวณ'!$B33=0,"",'ตารางเวร'!AG$9)</f>
        <v/>
      </c>
      <c r="C34" s="24">
        <f>IF('คำนวณ'!$B33=0,"",IF(SMALL('คำนวณ'!$BK33:$CD33,1)&gt;=999999,"",INDEX('ตารางเวร'!$A$10:$A$29,SMALL('คำนวณ'!$BK33:$CD33,1))&amp;IF(UPPER(SUBSTITUTE(INDEX('คำนวณ'!$C33:$V33,SMALL('คำนวณ'!$BK33:$CD33,1)),"*",""))="D","(D)","")))</f>
        <v/>
      </c>
      <c r="D34" s="24">
        <f>IF('คำนวณ'!$B33=0,"",IF(SMALL('คำนวณ'!$BK33:$CD33,2)&gt;=999999,"",INDEX('ตารางเวร'!$A$10:$A$29,SMALL('คำนวณ'!$BK33:$CD33,2))&amp;IF(UPPER(SUBSTITUTE(INDEX('คำนวณ'!$C33:$V33,SMALL('คำนวณ'!$BK33:$CD33,2)),"*",""))="D","(D)","")))</f>
        <v/>
      </c>
      <c r="E34" s="24">
        <f>IF('คำนวณ'!$B33=0,"",IF(SMALL('คำนวณ'!$BK33:$CD33,3)&gt;=999999,"",INDEX('ตารางเวร'!$A$10:$A$29,SMALL('คำนวณ'!$BK33:$CD33,3))&amp;IF(UPPER(SUBSTITUTE(INDEX('คำนวณ'!$C33:$V33,SMALL('คำนวณ'!$BK33:$CD33,3)),"*",""))="D","(D)","")))</f>
        <v/>
      </c>
      <c r="F34" s="24">
        <f>IF('คำนวณ'!$B33=0,"",IF(SMALL('คำนวณ'!$BK33:$CD33,4)&gt;=999999,"",INDEX('ตารางเวร'!$A$10:$A$29,SMALL('คำนวณ'!$BK33:$CD33,4))&amp;IF(UPPER(SUBSTITUTE(INDEX('คำนวณ'!$C33:$V33,SMALL('คำนวณ'!$BK33:$CD33,4)),"*",""))="D","(D)","")))</f>
        <v/>
      </c>
      <c r="G34" s="24">
        <f>IF('คำนวณ'!$B33=0,"",IF(SMALL('คำนวณ'!$BK33:$CD33,5)&gt;=999999,"",INDEX('ตารางเวร'!$A$10:$A$29,SMALL('คำนวณ'!$BK33:$CD33,5))&amp;IF(UPPER(SUBSTITUTE(INDEX('คำนวณ'!$C33:$V33,SMALL('คำนวณ'!$BK33:$CD33,5)),"*",""))="D","(D)","")))</f>
        <v/>
      </c>
      <c r="H34" s="24">
        <f>IF('คำนวณ'!$B33=0,"",IF(SMALL('คำนวณ'!$BK33:$CD33,6)&gt;=999999,"",INDEX('ตารางเวร'!$A$10:$A$29,SMALL('คำนวณ'!$BK33:$CD33,6))&amp;IF(UPPER(SUBSTITUTE(INDEX('คำนวณ'!$C33:$V33,SMALL('คำนวณ'!$BK33:$CD33,6)),"*",""))="D","(D)","")))</f>
        <v/>
      </c>
      <c r="I34" s="24">
        <f>IF('คำนวณ'!$B33=0,"",IF(SMALL('คำนวณ'!$BK33:$CD33,7)&gt;=999999,"",INDEX('ตารางเวร'!$A$10:$A$29,SMALL('คำนวณ'!$BK33:$CD33,7))&amp;IF(UPPER(SUBSTITUTE(INDEX('คำนวณ'!$C33:$V33,SMALL('คำนวณ'!$BK33:$CD33,7)),"*",""))="D","(D)","")))</f>
        <v/>
      </c>
      <c r="J34" s="24">
        <f>IF('คำนวณ'!$B33=0,"",IF(SMALL('คำนวณ'!$BK33:$CD33,8)&gt;=999999,"",INDEX('ตารางเวร'!$A$10:$A$29,SMALL('คำนวณ'!$BK33:$CD33,8))&amp;IF(UPPER(SUBSTITUTE(INDEX('คำนวณ'!$C33:$V33,SMALL('คำนวณ'!$BK33:$CD33,8)),"*",""))="D","(D)","")))</f>
        <v/>
      </c>
      <c r="K34" s="25">
        <f>IF(OR('คำนวณ'!$B33=0,'คำนวณ'!$CE33=0),"",INDEX('ตารางเวร'!$A$10:$A$29,'คำนวณ'!$CE33)&amp;IF(AND(TRIM('ตารางเวร'!$B$5)&lt;&gt;"",UPPER(SUBSTITUTE(INDEX('คำนวณ'!$C33:$V33,'คำนวณ'!$CE33),"*",""))="D"),"(D)",""))</f>
        <v/>
      </c>
      <c r="L34" s="26">
        <f>IF('คำนวณ'!$B33=0,"",IF('คำนวณ'!$DB33=2,"",IF(SMALL('คำนวณ'!$CF33:$CY33,1)&gt;=999999999,"",INDEX('ตารางเวร'!$A$10:$A$29,MATCH(SMALL('คำนวณ'!$CF33:$CY33,1),'คำนวณ'!$CF33:$CY33,0))&amp;IF(AND(TRIM('ตารางเวร'!$B$5)&lt;&gt;"",UPPER(SUBSTITUTE(INDEX('คำนวณ'!$C33:$V33,MATCH(SMALL('คำนวณ'!$CF33:$CY33,1),'คำนวณ'!$CF33:$CY33,0)),"*",""))="D"),"(D)",""))))</f>
        <v/>
      </c>
      <c r="M34" s="27">
        <f>IF('คำนวณ'!$B33=0,"",IF('คำนวณ'!$DB33=2,IF(SMALL('คำนวณ'!$CF33:$CY33,1)&gt;=999999999,"",INDEX('ตารางเวร'!$A$10:$A$29,MATCH(SMALL('คำนวณ'!$CF33:$CY33,1),'คำนวณ'!$CF33:$CY33,0))&amp;IF(AND(TRIM('ตารางเวร'!$B$5)&lt;&gt;"",UPPER(SUBSTITUTE(INDEX('คำนวณ'!$C33:$V33,MATCH(SMALL('คำนวณ'!$CF33:$CY33,1),'คำนวณ'!$CF33:$CY33,0)),"*",""))="D"),"(D)","")),IF(SMALL('คำนวณ'!$CF33:$CY33,2)&gt;=999999999,"",INDEX('ตารางเวร'!$A$10:$A$29,MATCH(SMALL('คำนวณ'!$CF33:$CY33,2),'คำนวณ'!$CF33:$CY33,0))&amp;IF(AND(TRIM('ตารางเวร'!$B$5)&lt;&gt;"",UPPER(SUBSTITUTE(INDEX('คำนวณ'!$C33:$V33,MATCH(SMALL('คำนวณ'!$CF33:$CY33,2),'คำนวณ'!$CF33:$CY33,0)),"*",""))="D"),"(D)",""))))</f>
        <v/>
      </c>
      <c r="N34" s="28">
        <f>IF('คำนวณ'!$B33=0,"",IF('คำนวณ'!$DB33=2,IF(SMALL('คำนวณ'!$CF33:$CY33,2)&gt;=999999999,"",INDEX('ตารางเวร'!$A$10:$A$29,MATCH(SMALL('คำนวณ'!$CF33:$CY33,2),'คำนวณ'!$CF33:$CY33,0))&amp;IF(AND(TRIM('ตารางเวร'!$B$5)&lt;&gt;"",UPPER(SUBSTITUTE(INDEX('คำนวณ'!$C33:$V33,MATCH(SMALL('คำนวณ'!$CF33:$CY33,2),'คำนวณ'!$CF33:$CY33,0)),"*",""))="D"),"(D)","")),IF(SMALL('คำนวณ'!$CF33:$CY33,3)&gt;=999999999,"",INDEX('ตารางเวร'!$A$10:$A$29,MATCH(SMALL('คำนวณ'!$CF33:$CY33,3),'คำนวณ'!$CF33:$CY33,0))&amp;IF(AND(TRIM('ตารางเวร'!$B$5)&lt;&gt;"",UPPER(SUBSTITUTE(INDEX('คำนวณ'!$C33:$V33,MATCH(SMALL('คำนวณ'!$CF33:$CY33,3),'คำนวณ'!$CF33:$CY33,0)),"*",""))="D"),"(D)",""))))</f>
        <v/>
      </c>
      <c r="O34" s="29">
        <f>IF('คำนวณ'!$B33=0,"",TRIM(IF(SMALL('คำนวณ'!$CF33:$CY33,4)&gt;=999999999,"","  "&amp;INDEX('ตารางเวร'!$A$10:$A$29,MATCH(SMALL('คำนวณ'!$CF33:$CY33,4),'คำนวณ'!$CF33:$CY33,0))&amp;IF(AND(TRIM('ตารางเวร'!$B$5)&lt;&gt;"",UPPER(SUBSTITUTE(INDEX('คำนวณ'!$C33:$V33,MATCH(SMALL('คำนวณ'!$CF33:$CY33,4),'คำนวณ'!$CF33:$CY33,0)),"*",""))="D"),"(D)",""))&amp;IF(SMALL('คำนวณ'!$CF33:$CY33,5)&gt;=999999999,"","  "&amp;INDEX('ตารางเวร'!$A$10:$A$29,MATCH(SMALL('คำนวณ'!$CF33:$CY33,5),'คำนวณ'!$CF33:$CY33,0))&amp;IF(AND(TRIM('ตารางเวร'!$B$5)&lt;&gt;"",UPPER(SUBSTITUTE(INDEX('คำนวณ'!$C33:$V33,MATCH(SMALL('คำนวณ'!$CF33:$CY33,5),'คำนวณ'!$CF33:$CY33,0)),"*",""))="D"),"(D)",""))&amp;IF(SMALL('คำนวณ'!$CF33:$CY33,6)&gt;=999999999,"","  "&amp;INDEX('ตารางเวร'!$A$10:$A$29,MATCH(SMALL('คำนวณ'!$CF33:$CY33,6),'คำนวณ'!$CF33:$CY33,0))&amp;IF(AND(TRIM('ตารางเวร'!$B$5)&lt;&gt;"",UPPER(SUBSTITUTE(INDEX('คำนวณ'!$C33:$V33,MATCH(SMALL('คำนวณ'!$CF33:$CY33,6),'คำนวณ'!$CF33:$CY33,0)),"*",""))="D"),"(D)",""))&amp;IF(SMALL('คำนวณ'!$CF33:$CY33,7)&gt;=999999999,"","  "&amp;INDEX('ตารางเวร'!$A$10:$A$29,MATCH(SMALL('คำนวณ'!$CF33:$CY33,7),'คำนวณ'!$CF33:$CY33,0))&amp;IF(AND(TRIM('ตารางเวร'!$B$5)&lt;&gt;"",UPPER(SUBSTITUTE(INDEX('คำนวณ'!$C33:$V33,MATCH(SMALL('คำนวณ'!$CF33:$CY33,7),'คำนวณ'!$CF33:$CY33,0)),"*",""))="D"),"(D)",""))&amp;IF(SMALL('คำนวณ'!$BK33:$CD33,9)&gt;=999999,"","  "&amp;INDEX('ตารางเวร'!$A$10:$A$29,SMALL('คำนวณ'!$BK33:$CD33,9))&amp;IF(UPPER(SUBSTITUTE(INDEX('คำนวณ'!$C33:$V33,SMALL('คำนวณ'!$BK33:$CD33,9)),"*",""))="D","(D)",""))&amp;IF(SMALL('คำนวณ'!$BK33:$CD33,10)&gt;=999999,"","  "&amp;INDEX('ตารางเวร'!$A$10:$A$29,SMALL('คำนวณ'!$BK33:$CD33,10))&amp;IF(UPPER(SUBSTITUTE(INDEX('คำนวณ'!$C33:$V33,SMALL('คำนวณ'!$BK33:$CD33,10)),"*",""))="D","(D)",""))&amp;IF(SMALL('คำนวณ'!$BK33:$CD33,11)&gt;=999999,"","  "&amp;INDEX('ตารางเวร'!$A$10:$A$29,SMALL('คำนวณ'!$BK33:$CD33,11))&amp;IF(UPPER(SUBSTITUTE(INDEX('คำนวณ'!$C33:$V33,SMALL('คำนวณ'!$BK33:$CD33,11)),"*",""))="D","(D)",""))&amp;IF(SMALL('คำนวณ'!$BK33:$CD33,12)&gt;=999999,"","  "&amp;INDEX('ตารางเวร'!$A$10:$A$29,SMALL('คำนวณ'!$BK33:$CD33,12))&amp;IF(UPPER(SUBSTITUTE(INDEX('คำนวณ'!$C33:$V33,SMALL('คำนวณ'!$BK33:$CD33,12)),"*",""))="D","(D)",""))))</f>
        <v/>
      </c>
    </row>
  </sheetData>
  <sheetProtection selectLockedCells="1" selectUnlockedCells="0" sheet="1" objects="0" insertRows="1" insertHyperlinks="1" autoFilter="0" scenarios="0" formatColumns="1" deleteColumns="1" insertColumns="1" pivotTables="1" deleteRows="1" formatCells="1" formatRows="1" sort="0"/>
  <mergeCells count="3">
    <mergeCell ref="A1:O1"/>
    <mergeCell ref="K2:N2"/>
    <mergeCell ref="C2:J2"/>
  </mergeCells>
  <conditionalFormatting sqref="A4:O34">
    <cfRule type="expression" priority="1" dxfId="4">
      <formula>'คำนวณ'!$DW3=1</formula>
    </cfRule>
  </conditionalFormatting>
  <conditionalFormatting sqref="O4:O34">
    <cfRule type="expression" priority="2" dxfId="5">
      <formula>O4&lt;&gt;""</formula>
    </cfRule>
  </conditionalFormatting>
  <pageMargins left="0.25" right="0.25" top="0.3" bottom="0.3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สรุปเวรรายคน — เช็คความยุติธรรม</t>
        </is>
      </c>
    </row>
    <row r="3">
      <c r="A3" s="30" t="inlineStr">
        <is>
          <t>ชื่อ-สกุล</t>
        </is>
      </c>
      <c r="B3" s="30" t="inlineStr">
        <is>
          <t>รวมวันเวร</t>
        </is>
      </c>
      <c r="C3" s="30" t="inlineStr">
        <is>
          <t>DE</t>
        </is>
      </c>
      <c r="D3" s="30" t="inlineStr">
        <is>
          <t>D</t>
        </is>
      </c>
      <c r="E3" s="30" t="inlineStr">
        <is>
          <t>เวรวันหยุด</t>
        </is>
      </c>
      <c r="F3" s="30" t="inlineStr">
        <is>
          <t>ขึ้น P1</t>
        </is>
      </c>
      <c r="G3" s="30">
        <f>'ตารางเวร'!$AM$14</f>
        <v/>
      </c>
      <c r="H3" s="30">
        <f>'ตารางเวร'!$AM$15</f>
        <v/>
      </c>
      <c r="I3" s="30">
        <f>'ตารางเวร'!$AM$16</f>
        <v/>
      </c>
      <c r="J3" s="30">
        <f>'ตารางเวร'!$AM$17</f>
        <v/>
      </c>
      <c r="K3" s="30" t="inlineStr">
        <is>
          <t>เข้าติดกัน
สูงสุด</t>
        </is>
      </c>
      <c r="L3" s="30" t="inlineStr">
        <is>
          <t>รหัสผิด</t>
        </is>
      </c>
    </row>
    <row r="4">
      <c r="A4" s="31">
        <f>IF('ตารางเวร'!$A$10="","",'ตารางเวร'!$A$10)</f>
        <v/>
      </c>
      <c r="B4" s="32">
        <f>IF($A4="","",SUMPRODUCT(--('คำนวณ'!C$3:C$33&lt;&gt;"")))</f>
        <v/>
      </c>
      <c r="C4" s="32">
        <f>IF($A4="","",SUMPRODUCT(--(UPPER(SUBSTITUTE('คำนวณ'!C$3:C$33,"*",""))="DE")))</f>
        <v/>
      </c>
      <c r="D4" s="32">
        <f>IF($A4="","",SUMPRODUCT(--(UPPER(SUBSTITUTE('คำนวณ'!C$3:C$33,"*",""))="D")))</f>
        <v/>
      </c>
      <c r="E4" s="32">
        <f>IF($A4="","",SUMPRODUCT(--('คำนวณ'!C$3:C$33&lt;&gt;""),'คำนวณ'!$DW$3:$DW$33))</f>
        <v/>
      </c>
      <c r="F4" s="32">
        <f>IF($A4="","",SUMPRODUCT(--('คำนวณ'!W$3:W$33&lt;999999999)))</f>
        <v/>
      </c>
      <c r="G4" s="33">
        <f>IF($A4="","",COUNTIF('จัดเวรรายวัน'!$K$4:$K$34,SUBSTITUTE(SUBSTITUTE(SUBSTITUTE($A4,"~","~~"),"*","~*"),"?","~?"))+COUNTIF('จัดเวรรายวัน'!$K$4:$K$34,SUBSTITUTE(SUBSTITUTE(SUBSTITUTE($A4,"~","~~"),"*","~*"),"?","~?")&amp;"(D)"))</f>
        <v/>
      </c>
      <c r="H4" s="34">
        <f>IF($A4="","",COUNTIF('จัดเวรรายวัน'!$L$4:$L$34,SUBSTITUTE(SUBSTITUTE(SUBSTITUTE($A4,"~","~~"),"*","~*"),"?","~?"))+COUNTIF('จัดเวรรายวัน'!$L$4:$L$34,SUBSTITUTE(SUBSTITUTE(SUBSTITUTE($A4,"~","~~"),"*","~*"),"?","~?")&amp;"(D)"))</f>
        <v/>
      </c>
      <c r="I4" s="35">
        <f>IF($A4="","",COUNTIF('จัดเวรรายวัน'!$M$4:$M$34,SUBSTITUTE(SUBSTITUTE(SUBSTITUTE($A4,"~","~~"),"*","~*"),"?","~?"))+COUNTIF('จัดเวรรายวัน'!$M$4:$M$34,SUBSTITUTE(SUBSTITUTE(SUBSTITUTE($A4,"~","~~"),"*","~*"),"?","~?")&amp;"(D)"))</f>
        <v/>
      </c>
      <c r="J4" s="36">
        <f>IF($A4="","",COUNTIF('จัดเวรรายวัน'!$N$4:$N$34,SUBSTITUTE(SUBSTITUTE(SUBSTITUTE($A4,"~","~~"),"*","~*"),"?","~?"))+COUNTIF('จัดเวรรายวัน'!$N$4:$N$34,SUBSTITUTE(SUBSTITUTE(SUBSTITUTE($A4,"~","~~"),"*","~*"),"?","~?")&amp;"(D)"))</f>
        <v/>
      </c>
      <c r="K4" s="32">
        <f>IF($A4="","",MAX('คำนวณ'!DC$3:DC$33))</f>
        <v/>
      </c>
      <c r="L4" s="32">
        <f>IF($A4="","",SUMPRODUCT(--('คำนวณ'!C$3:C$33&lt;&gt;""),--(UPPER(SUBSTITUTE('คำนวณ'!C$3:C$33,"*",""))&lt;&gt;"D"),--(UPPER(SUBSTITUTE('คำนวณ'!C$3:C$33,"*",""))&lt;&gt;"DE")))</f>
        <v/>
      </c>
    </row>
    <row r="5">
      <c r="A5" s="31">
        <f>IF('ตารางเวร'!$A$11="","",'ตารางเวร'!$A$11)</f>
        <v/>
      </c>
      <c r="B5" s="32">
        <f>IF($A5="","",SUMPRODUCT(--('คำนวณ'!D$3:D$33&lt;&gt;"")))</f>
        <v/>
      </c>
      <c r="C5" s="32">
        <f>IF($A5="","",SUMPRODUCT(--(UPPER(SUBSTITUTE('คำนวณ'!D$3:D$33,"*",""))="DE")))</f>
        <v/>
      </c>
      <c r="D5" s="32">
        <f>IF($A5="","",SUMPRODUCT(--(UPPER(SUBSTITUTE('คำนวณ'!D$3:D$33,"*",""))="D")))</f>
        <v/>
      </c>
      <c r="E5" s="32">
        <f>IF($A5="","",SUMPRODUCT(--('คำนวณ'!D$3:D$33&lt;&gt;""),'คำนวณ'!$DW$3:$DW$33))</f>
        <v/>
      </c>
      <c r="F5" s="32">
        <f>IF($A5="","",SUMPRODUCT(--('คำนวณ'!X$3:X$33&lt;999999999)))</f>
        <v/>
      </c>
      <c r="G5" s="33">
        <f>IF($A5="","",COUNTIF('จัดเวรรายวัน'!$K$4:$K$34,SUBSTITUTE(SUBSTITUTE(SUBSTITUTE($A5,"~","~~"),"*","~*"),"?","~?"))+COUNTIF('จัดเวรรายวัน'!$K$4:$K$34,SUBSTITUTE(SUBSTITUTE(SUBSTITUTE($A5,"~","~~"),"*","~*"),"?","~?")&amp;"(D)"))</f>
        <v/>
      </c>
      <c r="H5" s="34">
        <f>IF($A5="","",COUNTIF('จัดเวรรายวัน'!$L$4:$L$34,SUBSTITUTE(SUBSTITUTE(SUBSTITUTE($A5,"~","~~"),"*","~*"),"?","~?"))+COUNTIF('จัดเวรรายวัน'!$L$4:$L$34,SUBSTITUTE(SUBSTITUTE(SUBSTITUTE($A5,"~","~~"),"*","~*"),"?","~?")&amp;"(D)"))</f>
        <v/>
      </c>
      <c r="I5" s="35">
        <f>IF($A5="","",COUNTIF('จัดเวรรายวัน'!$M$4:$M$34,SUBSTITUTE(SUBSTITUTE(SUBSTITUTE($A5,"~","~~"),"*","~*"),"?","~?"))+COUNTIF('จัดเวรรายวัน'!$M$4:$M$34,SUBSTITUTE(SUBSTITUTE(SUBSTITUTE($A5,"~","~~"),"*","~*"),"?","~?")&amp;"(D)"))</f>
        <v/>
      </c>
      <c r="J5" s="36">
        <f>IF($A5="","",COUNTIF('จัดเวรรายวัน'!$N$4:$N$34,SUBSTITUTE(SUBSTITUTE(SUBSTITUTE($A5,"~","~~"),"*","~*"),"?","~?"))+COUNTIF('จัดเวรรายวัน'!$N$4:$N$34,SUBSTITUTE(SUBSTITUTE(SUBSTITUTE($A5,"~","~~"),"*","~*"),"?","~?")&amp;"(D)"))</f>
        <v/>
      </c>
      <c r="K5" s="32">
        <f>IF($A5="","",MAX('คำนวณ'!DD$3:DD$33))</f>
        <v/>
      </c>
      <c r="L5" s="32">
        <f>IF($A5="","",SUMPRODUCT(--('คำนวณ'!D$3:D$33&lt;&gt;""),--(UPPER(SUBSTITUTE('คำนวณ'!D$3:D$33,"*",""))&lt;&gt;"D"),--(UPPER(SUBSTITUTE('คำนวณ'!D$3:D$33,"*",""))&lt;&gt;"DE")))</f>
        <v/>
      </c>
    </row>
    <row r="6">
      <c r="A6" s="31">
        <f>IF('ตารางเวร'!$A$12="","",'ตารางเวร'!$A$12)</f>
        <v/>
      </c>
      <c r="B6" s="32">
        <f>IF($A6="","",SUMPRODUCT(--('คำนวณ'!E$3:E$33&lt;&gt;"")))</f>
        <v/>
      </c>
      <c r="C6" s="32">
        <f>IF($A6="","",SUMPRODUCT(--(UPPER(SUBSTITUTE('คำนวณ'!E$3:E$33,"*",""))="DE")))</f>
        <v/>
      </c>
      <c r="D6" s="32">
        <f>IF($A6="","",SUMPRODUCT(--(UPPER(SUBSTITUTE('คำนวณ'!E$3:E$33,"*",""))="D")))</f>
        <v/>
      </c>
      <c r="E6" s="32">
        <f>IF($A6="","",SUMPRODUCT(--('คำนวณ'!E$3:E$33&lt;&gt;""),'คำนวณ'!$DW$3:$DW$33))</f>
        <v/>
      </c>
      <c r="F6" s="32">
        <f>IF($A6="","",SUMPRODUCT(--('คำนวณ'!Y$3:Y$33&lt;999999999)))</f>
        <v/>
      </c>
      <c r="G6" s="33">
        <f>IF($A6="","",COUNTIF('จัดเวรรายวัน'!$K$4:$K$34,SUBSTITUTE(SUBSTITUTE(SUBSTITUTE($A6,"~","~~"),"*","~*"),"?","~?"))+COUNTIF('จัดเวรรายวัน'!$K$4:$K$34,SUBSTITUTE(SUBSTITUTE(SUBSTITUTE($A6,"~","~~"),"*","~*"),"?","~?")&amp;"(D)"))</f>
        <v/>
      </c>
      <c r="H6" s="34">
        <f>IF($A6="","",COUNTIF('จัดเวรรายวัน'!$L$4:$L$34,SUBSTITUTE(SUBSTITUTE(SUBSTITUTE($A6,"~","~~"),"*","~*"),"?","~?"))+COUNTIF('จัดเวรรายวัน'!$L$4:$L$34,SUBSTITUTE(SUBSTITUTE(SUBSTITUTE($A6,"~","~~"),"*","~*"),"?","~?")&amp;"(D)"))</f>
        <v/>
      </c>
      <c r="I6" s="35">
        <f>IF($A6="","",COUNTIF('จัดเวรรายวัน'!$M$4:$M$34,SUBSTITUTE(SUBSTITUTE(SUBSTITUTE($A6,"~","~~"),"*","~*"),"?","~?"))+COUNTIF('จัดเวรรายวัน'!$M$4:$M$34,SUBSTITUTE(SUBSTITUTE(SUBSTITUTE($A6,"~","~~"),"*","~*"),"?","~?")&amp;"(D)"))</f>
        <v/>
      </c>
      <c r="J6" s="36">
        <f>IF($A6="","",COUNTIF('จัดเวรรายวัน'!$N$4:$N$34,SUBSTITUTE(SUBSTITUTE(SUBSTITUTE($A6,"~","~~"),"*","~*"),"?","~?"))+COUNTIF('จัดเวรรายวัน'!$N$4:$N$34,SUBSTITUTE(SUBSTITUTE(SUBSTITUTE($A6,"~","~~"),"*","~*"),"?","~?")&amp;"(D)"))</f>
        <v/>
      </c>
      <c r="K6" s="32">
        <f>IF($A6="","",MAX('คำนวณ'!DE$3:DE$33))</f>
        <v/>
      </c>
      <c r="L6" s="32">
        <f>IF($A6="","",SUMPRODUCT(--('คำนวณ'!E$3:E$33&lt;&gt;""),--(UPPER(SUBSTITUTE('คำนวณ'!E$3:E$33,"*",""))&lt;&gt;"D"),--(UPPER(SUBSTITUTE('คำนวณ'!E$3:E$33,"*",""))&lt;&gt;"DE")))</f>
        <v/>
      </c>
    </row>
    <row r="7">
      <c r="A7" s="31">
        <f>IF('ตารางเวร'!$A$13="","",'ตารางเวร'!$A$13)</f>
        <v/>
      </c>
      <c r="B7" s="32">
        <f>IF($A7="","",SUMPRODUCT(--('คำนวณ'!F$3:F$33&lt;&gt;"")))</f>
        <v/>
      </c>
      <c r="C7" s="32">
        <f>IF($A7="","",SUMPRODUCT(--(UPPER(SUBSTITUTE('คำนวณ'!F$3:F$33,"*",""))="DE")))</f>
        <v/>
      </c>
      <c r="D7" s="32">
        <f>IF($A7="","",SUMPRODUCT(--(UPPER(SUBSTITUTE('คำนวณ'!F$3:F$33,"*",""))="D")))</f>
        <v/>
      </c>
      <c r="E7" s="32">
        <f>IF($A7="","",SUMPRODUCT(--('คำนวณ'!F$3:F$33&lt;&gt;""),'คำนวณ'!$DW$3:$DW$33))</f>
        <v/>
      </c>
      <c r="F7" s="32">
        <f>IF($A7="","",SUMPRODUCT(--('คำนวณ'!Z$3:Z$33&lt;999999999)))</f>
        <v/>
      </c>
      <c r="G7" s="33">
        <f>IF($A7="","",COUNTIF('จัดเวรรายวัน'!$K$4:$K$34,SUBSTITUTE(SUBSTITUTE(SUBSTITUTE($A7,"~","~~"),"*","~*"),"?","~?"))+COUNTIF('จัดเวรรายวัน'!$K$4:$K$34,SUBSTITUTE(SUBSTITUTE(SUBSTITUTE($A7,"~","~~"),"*","~*"),"?","~?")&amp;"(D)"))</f>
        <v/>
      </c>
      <c r="H7" s="34">
        <f>IF($A7="","",COUNTIF('จัดเวรรายวัน'!$L$4:$L$34,SUBSTITUTE(SUBSTITUTE(SUBSTITUTE($A7,"~","~~"),"*","~*"),"?","~?"))+COUNTIF('จัดเวรรายวัน'!$L$4:$L$34,SUBSTITUTE(SUBSTITUTE(SUBSTITUTE($A7,"~","~~"),"*","~*"),"?","~?")&amp;"(D)"))</f>
        <v/>
      </c>
      <c r="I7" s="35">
        <f>IF($A7="","",COUNTIF('จัดเวรรายวัน'!$M$4:$M$34,SUBSTITUTE(SUBSTITUTE(SUBSTITUTE($A7,"~","~~"),"*","~*"),"?","~?"))+COUNTIF('จัดเวรรายวัน'!$M$4:$M$34,SUBSTITUTE(SUBSTITUTE(SUBSTITUTE($A7,"~","~~"),"*","~*"),"?","~?")&amp;"(D)"))</f>
        <v/>
      </c>
      <c r="J7" s="36">
        <f>IF($A7="","",COUNTIF('จัดเวรรายวัน'!$N$4:$N$34,SUBSTITUTE(SUBSTITUTE(SUBSTITUTE($A7,"~","~~"),"*","~*"),"?","~?"))+COUNTIF('จัดเวรรายวัน'!$N$4:$N$34,SUBSTITUTE(SUBSTITUTE(SUBSTITUTE($A7,"~","~~"),"*","~*"),"?","~?")&amp;"(D)"))</f>
        <v/>
      </c>
      <c r="K7" s="32">
        <f>IF($A7="","",MAX('คำนวณ'!DF$3:DF$33))</f>
        <v/>
      </c>
      <c r="L7" s="32">
        <f>IF($A7="","",SUMPRODUCT(--('คำนวณ'!F$3:F$33&lt;&gt;""),--(UPPER(SUBSTITUTE('คำนวณ'!F$3:F$33,"*",""))&lt;&gt;"D"),--(UPPER(SUBSTITUTE('คำนวณ'!F$3:F$33,"*",""))&lt;&gt;"DE")))</f>
        <v/>
      </c>
    </row>
    <row r="8">
      <c r="A8" s="31">
        <f>IF('ตารางเวร'!$A$14="","",'ตารางเวร'!$A$14)</f>
        <v/>
      </c>
      <c r="B8" s="32">
        <f>IF($A8="","",SUMPRODUCT(--('คำนวณ'!G$3:G$33&lt;&gt;"")))</f>
        <v/>
      </c>
      <c r="C8" s="32">
        <f>IF($A8="","",SUMPRODUCT(--(UPPER(SUBSTITUTE('คำนวณ'!G$3:G$33,"*",""))="DE")))</f>
        <v/>
      </c>
      <c r="D8" s="32">
        <f>IF($A8="","",SUMPRODUCT(--(UPPER(SUBSTITUTE('คำนวณ'!G$3:G$33,"*",""))="D")))</f>
        <v/>
      </c>
      <c r="E8" s="32">
        <f>IF($A8="","",SUMPRODUCT(--('คำนวณ'!G$3:G$33&lt;&gt;""),'คำนวณ'!$DW$3:$DW$33))</f>
        <v/>
      </c>
      <c r="F8" s="32">
        <f>IF($A8="","",SUMPRODUCT(--('คำนวณ'!AA$3:AA$33&lt;999999999)))</f>
        <v/>
      </c>
      <c r="G8" s="33">
        <f>IF($A8="","",COUNTIF('จัดเวรรายวัน'!$K$4:$K$34,SUBSTITUTE(SUBSTITUTE(SUBSTITUTE($A8,"~","~~"),"*","~*"),"?","~?"))+COUNTIF('จัดเวรรายวัน'!$K$4:$K$34,SUBSTITUTE(SUBSTITUTE(SUBSTITUTE($A8,"~","~~"),"*","~*"),"?","~?")&amp;"(D)"))</f>
        <v/>
      </c>
      <c r="H8" s="34">
        <f>IF($A8="","",COUNTIF('จัดเวรรายวัน'!$L$4:$L$34,SUBSTITUTE(SUBSTITUTE(SUBSTITUTE($A8,"~","~~"),"*","~*"),"?","~?"))+COUNTIF('จัดเวรรายวัน'!$L$4:$L$34,SUBSTITUTE(SUBSTITUTE(SUBSTITUTE($A8,"~","~~"),"*","~*"),"?","~?")&amp;"(D)"))</f>
        <v/>
      </c>
      <c r="I8" s="35">
        <f>IF($A8="","",COUNTIF('จัดเวรรายวัน'!$M$4:$M$34,SUBSTITUTE(SUBSTITUTE(SUBSTITUTE($A8,"~","~~"),"*","~*"),"?","~?"))+COUNTIF('จัดเวรรายวัน'!$M$4:$M$34,SUBSTITUTE(SUBSTITUTE(SUBSTITUTE($A8,"~","~~"),"*","~*"),"?","~?")&amp;"(D)"))</f>
        <v/>
      </c>
      <c r="J8" s="36">
        <f>IF($A8="","",COUNTIF('จัดเวรรายวัน'!$N$4:$N$34,SUBSTITUTE(SUBSTITUTE(SUBSTITUTE($A8,"~","~~"),"*","~*"),"?","~?"))+COUNTIF('จัดเวรรายวัน'!$N$4:$N$34,SUBSTITUTE(SUBSTITUTE(SUBSTITUTE($A8,"~","~~"),"*","~*"),"?","~?")&amp;"(D)"))</f>
        <v/>
      </c>
      <c r="K8" s="32">
        <f>IF($A8="","",MAX('คำนวณ'!DG$3:DG$33))</f>
        <v/>
      </c>
      <c r="L8" s="32">
        <f>IF($A8="","",SUMPRODUCT(--('คำนวณ'!G$3:G$33&lt;&gt;""),--(UPPER(SUBSTITUTE('คำนวณ'!G$3:G$33,"*",""))&lt;&gt;"D"),--(UPPER(SUBSTITUTE('คำนวณ'!G$3:G$33,"*",""))&lt;&gt;"DE")))</f>
        <v/>
      </c>
    </row>
    <row r="9">
      <c r="A9" s="31">
        <f>IF('ตารางเวร'!$A$15="","",'ตารางเวร'!$A$15)</f>
        <v/>
      </c>
      <c r="B9" s="32">
        <f>IF($A9="","",SUMPRODUCT(--('คำนวณ'!H$3:H$33&lt;&gt;"")))</f>
        <v/>
      </c>
      <c r="C9" s="32">
        <f>IF($A9="","",SUMPRODUCT(--(UPPER(SUBSTITUTE('คำนวณ'!H$3:H$33,"*",""))="DE")))</f>
        <v/>
      </c>
      <c r="D9" s="32">
        <f>IF($A9="","",SUMPRODUCT(--(UPPER(SUBSTITUTE('คำนวณ'!H$3:H$33,"*",""))="D")))</f>
        <v/>
      </c>
      <c r="E9" s="32">
        <f>IF($A9="","",SUMPRODUCT(--('คำนวณ'!H$3:H$33&lt;&gt;""),'คำนวณ'!$DW$3:$DW$33))</f>
        <v/>
      </c>
      <c r="F9" s="32">
        <f>IF($A9="","",SUMPRODUCT(--('คำนวณ'!AB$3:AB$33&lt;999999999)))</f>
        <v/>
      </c>
      <c r="G9" s="33">
        <f>IF($A9="","",COUNTIF('จัดเวรรายวัน'!$K$4:$K$34,SUBSTITUTE(SUBSTITUTE(SUBSTITUTE($A9,"~","~~"),"*","~*"),"?","~?"))+COUNTIF('จัดเวรรายวัน'!$K$4:$K$34,SUBSTITUTE(SUBSTITUTE(SUBSTITUTE($A9,"~","~~"),"*","~*"),"?","~?")&amp;"(D)"))</f>
        <v/>
      </c>
      <c r="H9" s="34">
        <f>IF($A9="","",COUNTIF('จัดเวรรายวัน'!$L$4:$L$34,SUBSTITUTE(SUBSTITUTE(SUBSTITUTE($A9,"~","~~"),"*","~*"),"?","~?"))+COUNTIF('จัดเวรรายวัน'!$L$4:$L$34,SUBSTITUTE(SUBSTITUTE(SUBSTITUTE($A9,"~","~~"),"*","~*"),"?","~?")&amp;"(D)"))</f>
        <v/>
      </c>
      <c r="I9" s="35">
        <f>IF($A9="","",COUNTIF('จัดเวรรายวัน'!$M$4:$M$34,SUBSTITUTE(SUBSTITUTE(SUBSTITUTE($A9,"~","~~"),"*","~*"),"?","~?"))+COUNTIF('จัดเวรรายวัน'!$M$4:$M$34,SUBSTITUTE(SUBSTITUTE(SUBSTITUTE($A9,"~","~~"),"*","~*"),"?","~?")&amp;"(D)"))</f>
        <v/>
      </c>
      <c r="J9" s="36">
        <f>IF($A9="","",COUNTIF('จัดเวรรายวัน'!$N$4:$N$34,SUBSTITUTE(SUBSTITUTE(SUBSTITUTE($A9,"~","~~"),"*","~*"),"?","~?"))+COUNTIF('จัดเวรรายวัน'!$N$4:$N$34,SUBSTITUTE(SUBSTITUTE(SUBSTITUTE($A9,"~","~~"),"*","~*"),"?","~?")&amp;"(D)"))</f>
        <v/>
      </c>
      <c r="K9" s="32">
        <f>IF($A9="","",MAX('คำนวณ'!DH$3:DH$33))</f>
        <v/>
      </c>
      <c r="L9" s="32">
        <f>IF($A9="","",SUMPRODUCT(--('คำนวณ'!H$3:H$33&lt;&gt;""),--(UPPER(SUBSTITUTE('คำนวณ'!H$3:H$33,"*",""))&lt;&gt;"D"),--(UPPER(SUBSTITUTE('คำนวณ'!H$3:H$33,"*",""))&lt;&gt;"DE")))</f>
        <v/>
      </c>
    </row>
    <row r="10">
      <c r="A10" s="31">
        <f>IF('ตารางเวร'!$A$16="","",'ตารางเวร'!$A$16)</f>
        <v/>
      </c>
      <c r="B10" s="32">
        <f>IF($A10="","",SUMPRODUCT(--('คำนวณ'!I$3:I$33&lt;&gt;"")))</f>
        <v/>
      </c>
      <c r="C10" s="32">
        <f>IF($A10="","",SUMPRODUCT(--(UPPER(SUBSTITUTE('คำนวณ'!I$3:I$33,"*",""))="DE")))</f>
        <v/>
      </c>
      <c r="D10" s="32">
        <f>IF($A10="","",SUMPRODUCT(--(UPPER(SUBSTITUTE('คำนวณ'!I$3:I$33,"*",""))="D")))</f>
        <v/>
      </c>
      <c r="E10" s="32">
        <f>IF($A10="","",SUMPRODUCT(--('คำนวณ'!I$3:I$33&lt;&gt;""),'คำนวณ'!$DW$3:$DW$33))</f>
        <v/>
      </c>
      <c r="F10" s="32">
        <f>IF($A10="","",SUMPRODUCT(--('คำนวณ'!AC$3:AC$33&lt;999999999)))</f>
        <v/>
      </c>
      <c r="G10" s="33">
        <f>IF($A10="","",COUNTIF('จัดเวรรายวัน'!$K$4:$K$34,SUBSTITUTE(SUBSTITUTE(SUBSTITUTE($A10,"~","~~"),"*","~*"),"?","~?"))+COUNTIF('จัดเวรรายวัน'!$K$4:$K$34,SUBSTITUTE(SUBSTITUTE(SUBSTITUTE($A10,"~","~~"),"*","~*"),"?","~?")&amp;"(D)"))</f>
        <v/>
      </c>
      <c r="H10" s="34">
        <f>IF($A10="","",COUNTIF('จัดเวรรายวัน'!$L$4:$L$34,SUBSTITUTE(SUBSTITUTE(SUBSTITUTE($A10,"~","~~"),"*","~*"),"?","~?"))+COUNTIF('จัดเวรรายวัน'!$L$4:$L$34,SUBSTITUTE(SUBSTITUTE(SUBSTITUTE($A10,"~","~~"),"*","~*"),"?","~?")&amp;"(D)"))</f>
        <v/>
      </c>
      <c r="I10" s="35">
        <f>IF($A10="","",COUNTIF('จัดเวรรายวัน'!$M$4:$M$34,SUBSTITUTE(SUBSTITUTE(SUBSTITUTE($A10,"~","~~"),"*","~*"),"?","~?"))+COUNTIF('จัดเวรรายวัน'!$M$4:$M$34,SUBSTITUTE(SUBSTITUTE(SUBSTITUTE($A10,"~","~~"),"*","~*"),"?","~?")&amp;"(D)"))</f>
        <v/>
      </c>
      <c r="J10" s="36">
        <f>IF($A10="","",COUNTIF('จัดเวรรายวัน'!$N$4:$N$34,SUBSTITUTE(SUBSTITUTE(SUBSTITUTE($A10,"~","~~"),"*","~*"),"?","~?"))+COUNTIF('จัดเวรรายวัน'!$N$4:$N$34,SUBSTITUTE(SUBSTITUTE(SUBSTITUTE($A10,"~","~~"),"*","~*"),"?","~?")&amp;"(D)"))</f>
        <v/>
      </c>
      <c r="K10" s="32">
        <f>IF($A10="","",MAX('คำนวณ'!DI$3:DI$33))</f>
        <v/>
      </c>
      <c r="L10" s="32">
        <f>IF($A10="","",SUMPRODUCT(--('คำนวณ'!I$3:I$33&lt;&gt;""),--(UPPER(SUBSTITUTE('คำนวณ'!I$3:I$33,"*",""))&lt;&gt;"D"),--(UPPER(SUBSTITUTE('คำนวณ'!I$3:I$33,"*",""))&lt;&gt;"DE")))</f>
        <v/>
      </c>
    </row>
    <row r="11">
      <c r="A11" s="31">
        <f>IF('ตารางเวร'!$A$17="","",'ตารางเวร'!$A$17)</f>
        <v/>
      </c>
      <c r="B11" s="32">
        <f>IF($A11="","",SUMPRODUCT(--('คำนวณ'!J$3:J$33&lt;&gt;"")))</f>
        <v/>
      </c>
      <c r="C11" s="32">
        <f>IF($A11="","",SUMPRODUCT(--(UPPER(SUBSTITUTE('คำนวณ'!J$3:J$33,"*",""))="DE")))</f>
        <v/>
      </c>
      <c r="D11" s="32">
        <f>IF($A11="","",SUMPRODUCT(--(UPPER(SUBSTITUTE('คำนวณ'!J$3:J$33,"*",""))="D")))</f>
        <v/>
      </c>
      <c r="E11" s="32">
        <f>IF($A11="","",SUMPRODUCT(--('คำนวณ'!J$3:J$33&lt;&gt;""),'คำนวณ'!$DW$3:$DW$33))</f>
        <v/>
      </c>
      <c r="F11" s="32">
        <f>IF($A11="","",SUMPRODUCT(--('คำนวณ'!AD$3:AD$33&lt;999999999)))</f>
        <v/>
      </c>
      <c r="G11" s="33">
        <f>IF($A11="","",COUNTIF('จัดเวรรายวัน'!$K$4:$K$34,SUBSTITUTE(SUBSTITUTE(SUBSTITUTE($A11,"~","~~"),"*","~*"),"?","~?"))+COUNTIF('จัดเวรรายวัน'!$K$4:$K$34,SUBSTITUTE(SUBSTITUTE(SUBSTITUTE($A11,"~","~~"),"*","~*"),"?","~?")&amp;"(D)"))</f>
        <v/>
      </c>
      <c r="H11" s="34">
        <f>IF($A11="","",COUNTIF('จัดเวรรายวัน'!$L$4:$L$34,SUBSTITUTE(SUBSTITUTE(SUBSTITUTE($A11,"~","~~"),"*","~*"),"?","~?"))+COUNTIF('จัดเวรรายวัน'!$L$4:$L$34,SUBSTITUTE(SUBSTITUTE(SUBSTITUTE($A11,"~","~~"),"*","~*"),"?","~?")&amp;"(D)"))</f>
        <v/>
      </c>
      <c r="I11" s="35">
        <f>IF($A11="","",COUNTIF('จัดเวรรายวัน'!$M$4:$M$34,SUBSTITUTE(SUBSTITUTE(SUBSTITUTE($A11,"~","~~"),"*","~*"),"?","~?"))+COUNTIF('จัดเวรรายวัน'!$M$4:$M$34,SUBSTITUTE(SUBSTITUTE(SUBSTITUTE($A11,"~","~~"),"*","~*"),"?","~?")&amp;"(D)"))</f>
        <v/>
      </c>
      <c r="J11" s="36">
        <f>IF($A11="","",COUNTIF('จัดเวรรายวัน'!$N$4:$N$34,SUBSTITUTE(SUBSTITUTE(SUBSTITUTE($A11,"~","~~"),"*","~*"),"?","~?"))+COUNTIF('จัดเวรรายวัน'!$N$4:$N$34,SUBSTITUTE(SUBSTITUTE(SUBSTITUTE($A11,"~","~~"),"*","~*"),"?","~?")&amp;"(D)"))</f>
        <v/>
      </c>
      <c r="K11" s="32">
        <f>IF($A11="","",MAX('คำนวณ'!DJ$3:DJ$33))</f>
        <v/>
      </c>
      <c r="L11" s="32">
        <f>IF($A11="","",SUMPRODUCT(--('คำนวณ'!J$3:J$33&lt;&gt;""),--(UPPER(SUBSTITUTE('คำนวณ'!J$3:J$33,"*",""))&lt;&gt;"D"),--(UPPER(SUBSTITUTE('คำนวณ'!J$3:J$33,"*",""))&lt;&gt;"DE")))</f>
        <v/>
      </c>
    </row>
    <row r="12">
      <c r="A12" s="31">
        <f>IF('ตารางเวร'!$A$18="","",'ตารางเวร'!$A$18)</f>
        <v/>
      </c>
      <c r="B12" s="32">
        <f>IF($A12="","",SUMPRODUCT(--('คำนวณ'!K$3:K$33&lt;&gt;"")))</f>
        <v/>
      </c>
      <c r="C12" s="32">
        <f>IF($A12="","",SUMPRODUCT(--(UPPER(SUBSTITUTE('คำนวณ'!K$3:K$33,"*",""))="DE")))</f>
        <v/>
      </c>
      <c r="D12" s="32">
        <f>IF($A12="","",SUMPRODUCT(--(UPPER(SUBSTITUTE('คำนวณ'!K$3:K$33,"*",""))="D")))</f>
        <v/>
      </c>
      <c r="E12" s="32">
        <f>IF($A12="","",SUMPRODUCT(--('คำนวณ'!K$3:K$33&lt;&gt;""),'คำนวณ'!$DW$3:$DW$33))</f>
        <v/>
      </c>
      <c r="F12" s="32">
        <f>IF($A12="","",SUMPRODUCT(--('คำนวณ'!AE$3:AE$33&lt;999999999)))</f>
        <v/>
      </c>
      <c r="G12" s="33">
        <f>IF($A12="","",COUNTIF('จัดเวรรายวัน'!$K$4:$K$34,SUBSTITUTE(SUBSTITUTE(SUBSTITUTE($A12,"~","~~"),"*","~*"),"?","~?"))+COUNTIF('จัดเวรรายวัน'!$K$4:$K$34,SUBSTITUTE(SUBSTITUTE(SUBSTITUTE($A12,"~","~~"),"*","~*"),"?","~?")&amp;"(D)"))</f>
        <v/>
      </c>
      <c r="H12" s="34">
        <f>IF($A12="","",COUNTIF('จัดเวรรายวัน'!$L$4:$L$34,SUBSTITUTE(SUBSTITUTE(SUBSTITUTE($A12,"~","~~"),"*","~*"),"?","~?"))+COUNTIF('จัดเวรรายวัน'!$L$4:$L$34,SUBSTITUTE(SUBSTITUTE(SUBSTITUTE($A12,"~","~~"),"*","~*"),"?","~?")&amp;"(D)"))</f>
        <v/>
      </c>
      <c r="I12" s="35">
        <f>IF($A12="","",COUNTIF('จัดเวรรายวัน'!$M$4:$M$34,SUBSTITUTE(SUBSTITUTE(SUBSTITUTE($A12,"~","~~"),"*","~*"),"?","~?"))+COUNTIF('จัดเวรรายวัน'!$M$4:$M$34,SUBSTITUTE(SUBSTITUTE(SUBSTITUTE($A12,"~","~~"),"*","~*"),"?","~?")&amp;"(D)"))</f>
        <v/>
      </c>
      <c r="J12" s="36">
        <f>IF($A12="","",COUNTIF('จัดเวรรายวัน'!$N$4:$N$34,SUBSTITUTE(SUBSTITUTE(SUBSTITUTE($A12,"~","~~"),"*","~*"),"?","~?"))+COUNTIF('จัดเวรรายวัน'!$N$4:$N$34,SUBSTITUTE(SUBSTITUTE(SUBSTITUTE($A12,"~","~~"),"*","~*"),"?","~?")&amp;"(D)"))</f>
        <v/>
      </c>
      <c r="K12" s="32">
        <f>IF($A12="","",MAX('คำนวณ'!DK$3:DK$33))</f>
        <v/>
      </c>
      <c r="L12" s="32">
        <f>IF($A12="","",SUMPRODUCT(--('คำนวณ'!K$3:K$33&lt;&gt;""),--(UPPER(SUBSTITUTE('คำนวณ'!K$3:K$33,"*",""))&lt;&gt;"D"),--(UPPER(SUBSTITUTE('คำนวณ'!K$3:K$33,"*",""))&lt;&gt;"DE")))</f>
        <v/>
      </c>
    </row>
    <row r="13">
      <c r="A13" s="31">
        <f>IF('ตารางเวร'!$A$19="","",'ตารางเวร'!$A$19)</f>
        <v/>
      </c>
      <c r="B13" s="32">
        <f>IF($A13="","",SUMPRODUCT(--('คำนวณ'!L$3:L$33&lt;&gt;"")))</f>
        <v/>
      </c>
      <c r="C13" s="32">
        <f>IF($A13="","",SUMPRODUCT(--(UPPER(SUBSTITUTE('คำนวณ'!L$3:L$33,"*",""))="DE")))</f>
        <v/>
      </c>
      <c r="D13" s="32">
        <f>IF($A13="","",SUMPRODUCT(--(UPPER(SUBSTITUTE('คำนวณ'!L$3:L$33,"*",""))="D")))</f>
        <v/>
      </c>
      <c r="E13" s="32">
        <f>IF($A13="","",SUMPRODUCT(--('คำนวณ'!L$3:L$33&lt;&gt;""),'คำนวณ'!$DW$3:$DW$33))</f>
        <v/>
      </c>
      <c r="F13" s="32">
        <f>IF($A13="","",SUMPRODUCT(--('คำนวณ'!AF$3:AF$33&lt;999999999)))</f>
        <v/>
      </c>
      <c r="G13" s="33">
        <f>IF($A13="","",COUNTIF('จัดเวรรายวัน'!$K$4:$K$34,SUBSTITUTE(SUBSTITUTE(SUBSTITUTE($A13,"~","~~"),"*","~*"),"?","~?"))+COUNTIF('จัดเวรรายวัน'!$K$4:$K$34,SUBSTITUTE(SUBSTITUTE(SUBSTITUTE($A13,"~","~~"),"*","~*"),"?","~?")&amp;"(D)"))</f>
        <v/>
      </c>
      <c r="H13" s="34">
        <f>IF($A13="","",COUNTIF('จัดเวรรายวัน'!$L$4:$L$34,SUBSTITUTE(SUBSTITUTE(SUBSTITUTE($A13,"~","~~"),"*","~*"),"?","~?"))+COUNTIF('จัดเวรรายวัน'!$L$4:$L$34,SUBSTITUTE(SUBSTITUTE(SUBSTITUTE($A13,"~","~~"),"*","~*"),"?","~?")&amp;"(D)"))</f>
        <v/>
      </c>
      <c r="I13" s="35">
        <f>IF($A13="","",COUNTIF('จัดเวรรายวัน'!$M$4:$M$34,SUBSTITUTE(SUBSTITUTE(SUBSTITUTE($A13,"~","~~"),"*","~*"),"?","~?"))+COUNTIF('จัดเวรรายวัน'!$M$4:$M$34,SUBSTITUTE(SUBSTITUTE(SUBSTITUTE($A13,"~","~~"),"*","~*"),"?","~?")&amp;"(D)"))</f>
        <v/>
      </c>
      <c r="J13" s="36">
        <f>IF($A13="","",COUNTIF('จัดเวรรายวัน'!$N$4:$N$34,SUBSTITUTE(SUBSTITUTE(SUBSTITUTE($A13,"~","~~"),"*","~*"),"?","~?"))+COUNTIF('จัดเวรรายวัน'!$N$4:$N$34,SUBSTITUTE(SUBSTITUTE(SUBSTITUTE($A13,"~","~~"),"*","~*"),"?","~?")&amp;"(D)"))</f>
        <v/>
      </c>
      <c r="K13" s="32">
        <f>IF($A13="","",MAX('คำนวณ'!DL$3:DL$33))</f>
        <v/>
      </c>
      <c r="L13" s="32">
        <f>IF($A13="","",SUMPRODUCT(--('คำนวณ'!L$3:L$33&lt;&gt;""),--(UPPER(SUBSTITUTE('คำนวณ'!L$3:L$33,"*",""))&lt;&gt;"D"),--(UPPER(SUBSTITUTE('คำนวณ'!L$3:L$33,"*",""))&lt;&gt;"DE")))</f>
        <v/>
      </c>
    </row>
    <row r="14">
      <c r="A14" s="31">
        <f>IF('ตารางเวร'!$A$20="","",'ตารางเวร'!$A$20)</f>
        <v/>
      </c>
      <c r="B14" s="32">
        <f>IF($A14="","",SUMPRODUCT(--('คำนวณ'!M$3:M$33&lt;&gt;"")))</f>
        <v/>
      </c>
      <c r="C14" s="32">
        <f>IF($A14="","",SUMPRODUCT(--(UPPER(SUBSTITUTE('คำนวณ'!M$3:M$33,"*",""))="DE")))</f>
        <v/>
      </c>
      <c r="D14" s="32">
        <f>IF($A14="","",SUMPRODUCT(--(UPPER(SUBSTITUTE('คำนวณ'!M$3:M$33,"*",""))="D")))</f>
        <v/>
      </c>
      <c r="E14" s="32">
        <f>IF($A14="","",SUMPRODUCT(--('คำนวณ'!M$3:M$33&lt;&gt;""),'คำนวณ'!$DW$3:$DW$33))</f>
        <v/>
      </c>
      <c r="F14" s="32">
        <f>IF($A14="","",SUMPRODUCT(--('คำนวณ'!AG$3:AG$33&lt;999999999)))</f>
        <v/>
      </c>
      <c r="G14" s="33">
        <f>IF($A14="","",COUNTIF('จัดเวรรายวัน'!$K$4:$K$34,SUBSTITUTE(SUBSTITUTE(SUBSTITUTE($A14,"~","~~"),"*","~*"),"?","~?"))+COUNTIF('จัดเวรรายวัน'!$K$4:$K$34,SUBSTITUTE(SUBSTITUTE(SUBSTITUTE($A14,"~","~~"),"*","~*"),"?","~?")&amp;"(D)"))</f>
        <v/>
      </c>
      <c r="H14" s="34">
        <f>IF($A14="","",COUNTIF('จัดเวรรายวัน'!$L$4:$L$34,SUBSTITUTE(SUBSTITUTE(SUBSTITUTE($A14,"~","~~"),"*","~*"),"?","~?"))+COUNTIF('จัดเวรรายวัน'!$L$4:$L$34,SUBSTITUTE(SUBSTITUTE(SUBSTITUTE($A14,"~","~~"),"*","~*"),"?","~?")&amp;"(D)"))</f>
        <v/>
      </c>
      <c r="I14" s="35">
        <f>IF($A14="","",COUNTIF('จัดเวรรายวัน'!$M$4:$M$34,SUBSTITUTE(SUBSTITUTE(SUBSTITUTE($A14,"~","~~"),"*","~*"),"?","~?"))+COUNTIF('จัดเวรรายวัน'!$M$4:$M$34,SUBSTITUTE(SUBSTITUTE(SUBSTITUTE($A14,"~","~~"),"*","~*"),"?","~?")&amp;"(D)"))</f>
        <v/>
      </c>
      <c r="J14" s="36">
        <f>IF($A14="","",COUNTIF('จัดเวรรายวัน'!$N$4:$N$34,SUBSTITUTE(SUBSTITUTE(SUBSTITUTE($A14,"~","~~"),"*","~*"),"?","~?"))+COUNTIF('จัดเวรรายวัน'!$N$4:$N$34,SUBSTITUTE(SUBSTITUTE(SUBSTITUTE($A14,"~","~~"),"*","~*"),"?","~?")&amp;"(D)"))</f>
        <v/>
      </c>
      <c r="K14" s="32">
        <f>IF($A14="","",MAX('คำนวณ'!DM$3:DM$33))</f>
        <v/>
      </c>
      <c r="L14" s="32">
        <f>IF($A14="","",SUMPRODUCT(--('คำนวณ'!M$3:M$33&lt;&gt;""),--(UPPER(SUBSTITUTE('คำนวณ'!M$3:M$33,"*",""))&lt;&gt;"D"),--(UPPER(SUBSTITUTE('คำนวณ'!M$3:M$33,"*",""))&lt;&gt;"DE")))</f>
        <v/>
      </c>
    </row>
    <row r="15">
      <c r="A15" s="31">
        <f>IF('ตารางเวร'!$A$21="","",'ตารางเวร'!$A$21)</f>
        <v/>
      </c>
      <c r="B15" s="32">
        <f>IF($A15="","",SUMPRODUCT(--('คำนวณ'!N$3:N$33&lt;&gt;"")))</f>
        <v/>
      </c>
      <c r="C15" s="32">
        <f>IF($A15="","",SUMPRODUCT(--(UPPER(SUBSTITUTE('คำนวณ'!N$3:N$33,"*",""))="DE")))</f>
        <v/>
      </c>
      <c r="D15" s="32">
        <f>IF($A15="","",SUMPRODUCT(--(UPPER(SUBSTITUTE('คำนวณ'!N$3:N$33,"*",""))="D")))</f>
        <v/>
      </c>
      <c r="E15" s="32">
        <f>IF($A15="","",SUMPRODUCT(--('คำนวณ'!N$3:N$33&lt;&gt;""),'คำนวณ'!$DW$3:$DW$33))</f>
        <v/>
      </c>
      <c r="F15" s="32">
        <f>IF($A15="","",SUMPRODUCT(--('คำนวณ'!AH$3:AH$33&lt;999999999)))</f>
        <v/>
      </c>
      <c r="G15" s="33">
        <f>IF($A15="","",COUNTIF('จัดเวรรายวัน'!$K$4:$K$34,SUBSTITUTE(SUBSTITUTE(SUBSTITUTE($A15,"~","~~"),"*","~*"),"?","~?"))+COUNTIF('จัดเวรรายวัน'!$K$4:$K$34,SUBSTITUTE(SUBSTITUTE(SUBSTITUTE($A15,"~","~~"),"*","~*"),"?","~?")&amp;"(D)"))</f>
        <v/>
      </c>
      <c r="H15" s="34">
        <f>IF($A15="","",COUNTIF('จัดเวรรายวัน'!$L$4:$L$34,SUBSTITUTE(SUBSTITUTE(SUBSTITUTE($A15,"~","~~"),"*","~*"),"?","~?"))+COUNTIF('จัดเวรรายวัน'!$L$4:$L$34,SUBSTITUTE(SUBSTITUTE(SUBSTITUTE($A15,"~","~~"),"*","~*"),"?","~?")&amp;"(D)"))</f>
        <v/>
      </c>
      <c r="I15" s="35">
        <f>IF($A15="","",COUNTIF('จัดเวรรายวัน'!$M$4:$M$34,SUBSTITUTE(SUBSTITUTE(SUBSTITUTE($A15,"~","~~"),"*","~*"),"?","~?"))+COUNTIF('จัดเวรรายวัน'!$M$4:$M$34,SUBSTITUTE(SUBSTITUTE(SUBSTITUTE($A15,"~","~~"),"*","~*"),"?","~?")&amp;"(D)"))</f>
        <v/>
      </c>
      <c r="J15" s="36">
        <f>IF($A15="","",COUNTIF('จัดเวรรายวัน'!$N$4:$N$34,SUBSTITUTE(SUBSTITUTE(SUBSTITUTE($A15,"~","~~"),"*","~*"),"?","~?"))+COUNTIF('จัดเวรรายวัน'!$N$4:$N$34,SUBSTITUTE(SUBSTITUTE(SUBSTITUTE($A15,"~","~~"),"*","~*"),"?","~?")&amp;"(D)"))</f>
        <v/>
      </c>
      <c r="K15" s="32">
        <f>IF($A15="","",MAX('คำนวณ'!DN$3:DN$33))</f>
        <v/>
      </c>
      <c r="L15" s="32">
        <f>IF($A15="","",SUMPRODUCT(--('คำนวณ'!N$3:N$33&lt;&gt;""),--(UPPER(SUBSTITUTE('คำนวณ'!N$3:N$33,"*",""))&lt;&gt;"D"),--(UPPER(SUBSTITUTE('คำนวณ'!N$3:N$33,"*",""))&lt;&gt;"DE")))</f>
        <v/>
      </c>
    </row>
    <row r="16">
      <c r="A16" s="31">
        <f>IF('ตารางเวร'!$A$22="","",'ตารางเวร'!$A$22)</f>
        <v/>
      </c>
      <c r="B16" s="32">
        <f>IF($A16="","",SUMPRODUCT(--('คำนวณ'!O$3:O$33&lt;&gt;"")))</f>
        <v/>
      </c>
      <c r="C16" s="32">
        <f>IF($A16="","",SUMPRODUCT(--(UPPER(SUBSTITUTE('คำนวณ'!O$3:O$33,"*",""))="DE")))</f>
        <v/>
      </c>
      <c r="D16" s="32">
        <f>IF($A16="","",SUMPRODUCT(--(UPPER(SUBSTITUTE('คำนวณ'!O$3:O$33,"*",""))="D")))</f>
        <v/>
      </c>
      <c r="E16" s="32">
        <f>IF($A16="","",SUMPRODUCT(--('คำนวณ'!O$3:O$33&lt;&gt;""),'คำนวณ'!$DW$3:$DW$33))</f>
        <v/>
      </c>
      <c r="F16" s="32">
        <f>IF($A16="","",SUMPRODUCT(--('คำนวณ'!AI$3:AI$33&lt;999999999)))</f>
        <v/>
      </c>
      <c r="G16" s="33">
        <f>IF($A16="","",COUNTIF('จัดเวรรายวัน'!$K$4:$K$34,SUBSTITUTE(SUBSTITUTE(SUBSTITUTE($A16,"~","~~"),"*","~*"),"?","~?"))+COUNTIF('จัดเวรรายวัน'!$K$4:$K$34,SUBSTITUTE(SUBSTITUTE(SUBSTITUTE($A16,"~","~~"),"*","~*"),"?","~?")&amp;"(D)"))</f>
        <v/>
      </c>
      <c r="H16" s="34">
        <f>IF($A16="","",COUNTIF('จัดเวรรายวัน'!$L$4:$L$34,SUBSTITUTE(SUBSTITUTE(SUBSTITUTE($A16,"~","~~"),"*","~*"),"?","~?"))+COUNTIF('จัดเวรรายวัน'!$L$4:$L$34,SUBSTITUTE(SUBSTITUTE(SUBSTITUTE($A16,"~","~~"),"*","~*"),"?","~?")&amp;"(D)"))</f>
        <v/>
      </c>
      <c r="I16" s="35">
        <f>IF($A16="","",COUNTIF('จัดเวรรายวัน'!$M$4:$M$34,SUBSTITUTE(SUBSTITUTE(SUBSTITUTE($A16,"~","~~"),"*","~*"),"?","~?"))+COUNTIF('จัดเวรรายวัน'!$M$4:$M$34,SUBSTITUTE(SUBSTITUTE(SUBSTITUTE($A16,"~","~~"),"*","~*"),"?","~?")&amp;"(D)"))</f>
        <v/>
      </c>
      <c r="J16" s="36">
        <f>IF($A16="","",COUNTIF('จัดเวรรายวัน'!$N$4:$N$34,SUBSTITUTE(SUBSTITUTE(SUBSTITUTE($A16,"~","~~"),"*","~*"),"?","~?"))+COUNTIF('จัดเวรรายวัน'!$N$4:$N$34,SUBSTITUTE(SUBSTITUTE(SUBSTITUTE($A16,"~","~~"),"*","~*"),"?","~?")&amp;"(D)"))</f>
        <v/>
      </c>
      <c r="K16" s="32">
        <f>IF($A16="","",MAX('คำนวณ'!DO$3:DO$33))</f>
        <v/>
      </c>
      <c r="L16" s="32">
        <f>IF($A16="","",SUMPRODUCT(--('คำนวณ'!O$3:O$33&lt;&gt;""),--(UPPER(SUBSTITUTE('คำนวณ'!O$3:O$33,"*",""))&lt;&gt;"D"),--(UPPER(SUBSTITUTE('คำนวณ'!O$3:O$33,"*",""))&lt;&gt;"DE")))</f>
        <v/>
      </c>
    </row>
    <row r="17">
      <c r="A17" s="31">
        <f>IF('ตารางเวร'!$A$23="","",'ตารางเวร'!$A$23)</f>
        <v/>
      </c>
      <c r="B17" s="32">
        <f>IF($A17="","",SUMPRODUCT(--('คำนวณ'!P$3:P$33&lt;&gt;"")))</f>
        <v/>
      </c>
      <c r="C17" s="32">
        <f>IF($A17="","",SUMPRODUCT(--(UPPER(SUBSTITUTE('คำนวณ'!P$3:P$33,"*",""))="DE")))</f>
        <v/>
      </c>
      <c r="D17" s="32">
        <f>IF($A17="","",SUMPRODUCT(--(UPPER(SUBSTITUTE('คำนวณ'!P$3:P$33,"*",""))="D")))</f>
        <v/>
      </c>
      <c r="E17" s="32">
        <f>IF($A17="","",SUMPRODUCT(--('คำนวณ'!P$3:P$33&lt;&gt;""),'คำนวณ'!$DW$3:$DW$33))</f>
        <v/>
      </c>
      <c r="F17" s="32">
        <f>IF($A17="","",SUMPRODUCT(--('คำนวณ'!AJ$3:AJ$33&lt;999999999)))</f>
        <v/>
      </c>
      <c r="G17" s="33">
        <f>IF($A17="","",COUNTIF('จัดเวรรายวัน'!$K$4:$K$34,SUBSTITUTE(SUBSTITUTE(SUBSTITUTE($A17,"~","~~"),"*","~*"),"?","~?"))+COUNTIF('จัดเวรรายวัน'!$K$4:$K$34,SUBSTITUTE(SUBSTITUTE(SUBSTITUTE($A17,"~","~~"),"*","~*"),"?","~?")&amp;"(D)"))</f>
        <v/>
      </c>
      <c r="H17" s="34">
        <f>IF($A17="","",COUNTIF('จัดเวรรายวัน'!$L$4:$L$34,SUBSTITUTE(SUBSTITUTE(SUBSTITUTE($A17,"~","~~"),"*","~*"),"?","~?"))+COUNTIF('จัดเวรรายวัน'!$L$4:$L$34,SUBSTITUTE(SUBSTITUTE(SUBSTITUTE($A17,"~","~~"),"*","~*"),"?","~?")&amp;"(D)"))</f>
        <v/>
      </c>
      <c r="I17" s="35">
        <f>IF($A17="","",COUNTIF('จัดเวรรายวัน'!$M$4:$M$34,SUBSTITUTE(SUBSTITUTE(SUBSTITUTE($A17,"~","~~"),"*","~*"),"?","~?"))+COUNTIF('จัดเวรรายวัน'!$M$4:$M$34,SUBSTITUTE(SUBSTITUTE(SUBSTITUTE($A17,"~","~~"),"*","~*"),"?","~?")&amp;"(D)"))</f>
        <v/>
      </c>
      <c r="J17" s="36">
        <f>IF($A17="","",COUNTIF('จัดเวรรายวัน'!$N$4:$N$34,SUBSTITUTE(SUBSTITUTE(SUBSTITUTE($A17,"~","~~"),"*","~*"),"?","~?"))+COUNTIF('จัดเวรรายวัน'!$N$4:$N$34,SUBSTITUTE(SUBSTITUTE(SUBSTITUTE($A17,"~","~~"),"*","~*"),"?","~?")&amp;"(D)"))</f>
        <v/>
      </c>
      <c r="K17" s="32">
        <f>IF($A17="","",MAX('คำนวณ'!DP$3:DP$33))</f>
        <v/>
      </c>
      <c r="L17" s="32">
        <f>IF($A17="","",SUMPRODUCT(--('คำนวณ'!P$3:P$33&lt;&gt;""),--(UPPER(SUBSTITUTE('คำนวณ'!P$3:P$33,"*",""))&lt;&gt;"D"),--(UPPER(SUBSTITUTE('คำนวณ'!P$3:P$33,"*",""))&lt;&gt;"DE")))</f>
        <v/>
      </c>
    </row>
    <row r="18">
      <c r="A18" s="31">
        <f>IF('ตารางเวร'!$A$24="","",'ตารางเวร'!$A$24)</f>
        <v/>
      </c>
      <c r="B18" s="32">
        <f>IF($A18="","",SUMPRODUCT(--('คำนวณ'!Q$3:Q$33&lt;&gt;"")))</f>
        <v/>
      </c>
      <c r="C18" s="32">
        <f>IF($A18="","",SUMPRODUCT(--(UPPER(SUBSTITUTE('คำนวณ'!Q$3:Q$33,"*",""))="DE")))</f>
        <v/>
      </c>
      <c r="D18" s="32">
        <f>IF($A18="","",SUMPRODUCT(--(UPPER(SUBSTITUTE('คำนวณ'!Q$3:Q$33,"*",""))="D")))</f>
        <v/>
      </c>
      <c r="E18" s="32">
        <f>IF($A18="","",SUMPRODUCT(--('คำนวณ'!Q$3:Q$33&lt;&gt;""),'คำนวณ'!$DW$3:$DW$33))</f>
        <v/>
      </c>
      <c r="F18" s="32">
        <f>IF($A18="","",SUMPRODUCT(--('คำนวณ'!AK$3:AK$33&lt;999999999)))</f>
        <v/>
      </c>
      <c r="G18" s="33">
        <f>IF($A18="","",COUNTIF('จัดเวรรายวัน'!$K$4:$K$34,SUBSTITUTE(SUBSTITUTE(SUBSTITUTE($A18,"~","~~"),"*","~*"),"?","~?"))+COUNTIF('จัดเวรรายวัน'!$K$4:$K$34,SUBSTITUTE(SUBSTITUTE(SUBSTITUTE($A18,"~","~~"),"*","~*"),"?","~?")&amp;"(D)"))</f>
        <v/>
      </c>
      <c r="H18" s="34">
        <f>IF($A18="","",COUNTIF('จัดเวรรายวัน'!$L$4:$L$34,SUBSTITUTE(SUBSTITUTE(SUBSTITUTE($A18,"~","~~"),"*","~*"),"?","~?"))+COUNTIF('จัดเวรรายวัน'!$L$4:$L$34,SUBSTITUTE(SUBSTITUTE(SUBSTITUTE($A18,"~","~~"),"*","~*"),"?","~?")&amp;"(D)"))</f>
        <v/>
      </c>
      <c r="I18" s="35">
        <f>IF($A18="","",COUNTIF('จัดเวรรายวัน'!$M$4:$M$34,SUBSTITUTE(SUBSTITUTE(SUBSTITUTE($A18,"~","~~"),"*","~*"),"?","~?"))+COUNTIF('จัดเวรรายวัน'!$M$4:$M$34,SUBSTITUTE(SUBSTITUTE(SUBSTITUTE($A18,"~","~~"),"*","~*"),"?","~?")&amp;"(D)"))</f>
        <v/>
      </c>
      <c r="J18" s="36">
        <f>IF($A18="","",COUNTIF('จัดเวรรายวัน'!$N$4:$N$34,SUBSTITUTE(SUBSTITUTE(SUBSTITUTE($A18,"~","~~"),"*","~*"),"?","~?"))+COUNTIF('จัดเวรรายวัน'!$N$4:$N$34,SUBSTITUTE(SUBSTITUTE(SUBSTITUTE($A18,"~","~~"),"*","~*"),"?","~?")&amp;"(D)"))</f>
        <v/>
      </c>
      <c r="K18" s="32">
        <f>IF($A18="","",MAX('คำนวณ'!DQ$3:DQ$33))</f>
        <v/>
      </c>
      <c r="L18" s="32">
        <f>IF($A18="","",SUMPRODUCT(--('คำนวณ'!Q$3:Q$33&lt;&gt;""),--(UPPER(SUBSTITUTE('คำนวณ'!Q$3:Q$33,"*",""))&lt;&gt;"D"),--(UPPER(SUBSTITUTE('คำนวณ'!Q$3:Q$33,"*",""))&lt;&gt;"DE")))</f>
        <v/>
      </c>
    </row>
    <row r="19">
      <c r="A19" s="31">
        <f>IF('ตารางเวร'!$A$25="","",'ตารางเวร'!$A$25)</f>
        <v/>
      </c>
      <c r="B19" s="32">
        <f>IF($A19="","",SUMPRODUCT(--('คำนวณ'!R$3:R$33&lt;&gt;"")))</f>
        <v/>
      </c>
      <c r="C19" s="32">
        <f>IF($A19="","",SUMPRODUCT(--(UPPER(SUBSTITUTE('คำนวณ'!R$3:R$33,"*",""))="DE")))</f>
        <v/>
      </c>
      <c r="D19" s="32">
        <f>IF($A19="","",SUMPRODUCT(--(UPPER(SUBSTITUTE('คำนวณ'!R$3:R$33,"*",""))="D")))</f>
        <v/>
      </c>
      <c r="E19" s="32">
        <f>IF($A19="","",SUMPRODUCT(--('คำนวณ'!R$3:R$33&lt;&gt;""),'คำนวณ'!$DW$3:$DW$33))</f>
        <v/>
      </c>
      <c r="F19" s="32">
        <f>IF($A19="","",SUMPRODUCT(--('คำนวณ'!AL$3:AL$33&lt;999999999)))</f>
        <v/>
      </c>
      <c r="G19" s="33">
        <f>IF($A19="","",COUNTIF('จัดเวรรายวัน'!$K$4:$K$34,SUBSTITUTE(SUBSTITUTE(SUBSTITUTE($A19,"~","~~"),"*","~*"),"?","~?"))+COUNTIF('จัดเวรรายวัน'!$K$4:$K$34,SUBSTITUTE(SUBSTITUTE(SUBSTITUTE($A19,"~","~~"),"*","~*"),"?","~?")&amp;"(D)"))</f>
        <v/>
      </c>
      <c r="H19" s="34">
        <f>IF($A19="","",COUNTIF('จัดเวรรายวัน'!$L$4:$L$34,SUBSTITUTE(SUBSTITUTE(SUBSTITUTE($A19,"~","~~"),"*","~*"),"?","~?"))+COUNTIF('จัดเวรรายวัน'!$L$4:$L$34,SUBSTITUTE(SUBSTITUTE(SUBSTITUTE($A19,"~","~~"),"*","~*"),"?","~?")&amp;"(D)"))</f>
        <v/>
      </c>
      <c r="I19" s="35">
        <f>IF($A19="","",COUNTIF('จัดเวรรายวัน'!$M$4:$M$34,SUBSTITUTE(SUBSTITUTE(SUBSTITUTE($A19,"~","~~"),"*","~*"),"?","~?"))+COUNTIF('จัดเวรรายวัน'!$M$4:$M$34,SUBSTITUTE(SUBSTITUTE(SUBSTITUTE($A19,"~","~~"),"*","~*"),"?","~?")&amp;"(D)"))</f>
        <v/>
      </c>
      <c r="J19" s="36">
        <f>IF($A19="","",COUNTIF('จัดเวรรายวัน'!$N$4:$N$34,SUBSTITUTE(SUBSTITUTE(SUBSTITUTE($A19,"~","~~"),"*","~*"),"?","~?"))+COUNTIF('จัดเวรรายวัน'!$N$4:$N$34,SUBSTITUTE(SUBSTITUTE(SUBSTITUTE($A19,"~","~~"),"*","~*"),"?","~?")&amp;"(D)"))</f>
        <v/>
      </c>
      <c r="K19" s="32">
        <f>IF($A19="","",MAX('คำนวณ'!DR$3:DR$33))</f>
        <v/>
      </c>
      <c r="L19" s="32">
        <f>IF($A19="","",SUMPRODUCT(--('คำนวณ'!R$3:R$33&lt;&gt;""),--(UPPER(SUBSTITUTE('คำนวณ'!R$3:R$33,"*",""))&lt;&gt;"D"),--(UPPER(SUBSTITUTE('คำนวณ'!R$3:R$33,"*",""))&lt;&gt;"DE")))</f>
        <v/>
      </c>
    </row>
    <row r="20">
      <c r="A20" s="31">
        <f>IF('ตารางเวร'!$A$26="","",'ตารางเวร'!$A$26)</f>
        <v/>
      </c>
      <c r="B20" s="32">
        <f>IF($A20="","",SUMPRODUCT(--('คำนวณ'!S$3:S$33&lt;&gt;"")))</f>
        <v/>
      </c>
      <c r="C20" s="32">
        <f>IF($A20="","",SUMPRODUCT(--(UPPER(SUBSTITUTE('คำนวณ'!S$3:S$33,"*",""))="DE")))</f>
        <v/>
      </c>
      <c r="D20" s="32">
        <f>IF($A20="","",SUMPRODUCT(--(UPPER(SUBSTITUTE('คำนวณ'!S$3:S$33,"*",""))="D")))</f>
        <v/>
      </c>
      <c r="E20" s="32">
        <f>IF($A20="","",SUMPRODUCT(--('คำนวณ'!S$3:S$33&lt;&gt;""),'คำนวณ'!$DW$3:$DW$33))</f>
        <v/>
      </c>
      <c r="F20" s="32">
        <f>IF($A20="","",SUMPRODUCT(--('คำนวณ'!AM$3:AM$33&lt;999999999)))</f>
        <v/>
      </c>
      <c r="G20" s="33">
        <f>IF($A20="","",COUNTIF('จัดเวรรายวัน'!$K$4:$K$34,SUBSTITUTE(SUBSTITUTE(SUBSTITUTE($A20,"~","~~"),"*","~*"),"?","~?"))+COUNTIF('จัดเวรรายวัน'!$K$4:$K$34,SUBSTITUTE(SUBSTITUTE(SUBSTITUTE($A20,"~","~~"),"*","~*"),"?","~?")&amp;"(D)"))</f>
        <v/>
      </c>
      <c r="H20" s="34">
        <f>IF($A20="","",COUNTIF('จัดเวรรายวัน'!$L$4:$L$34,SUBSTITUTE(SUBSTITUTE(SUBSTITUTE($A20,"~","~~"),"*","~*"),"?","~?"))+COUNTIF('จัดเวรรายวัน'!$L$4:$L$34,SUBSTITUTE(SUBSTITUTE(SUBSTITUTE($A20,"~","~~"),"*","~*"),"?","~?")&amp;"(D)"))</f>
        <v/>
      </c>
      <c r="I20" s="35">
        <f>IF($A20="","",COUNTIF('จัดเวรรายวัน'!$M$4:$M$34,SUBSTITUTE(SUBSTITUTE(SUBSTITUTE($A20,"~","~~"),"*","~*"),"?","~?"))+COUNTIF('จัดเวรรายวัน'!$M$4:$M$34,SUBSTITUTE(SUBSTITUTE(SUBSTITUTE($A20,"~","~~"),"*","~*"),"?","~?")&amp;"(D)"))</f>
        <v/>
      </c>
      <c r="J20" s="36">
        <f>IF($A20="","",COUNTIF('จัดเวรรายวัน'!$N$4:$N$34,SUBSTITUTE(SUBSTITUTE(SUBSTITUTE($A20,"~","~~"),"*","~*"),"?","~?"))+COUNTIF('จัดเวรรายวัน'!$N$4:$N$34,SUBSTITUTE(SUBSTITUTE(SUBSTITUTE($A20,"~","~~"),"*","~*"),"?","~?")&amp;"(D)"))</f>
        <v/>
      </c>
      <c r="K20" s="32">
        <f>IF($A20="","",MAX('คำนวณ'!DS$3:DS$33))</f>
        <v/>
      </c>
      <c r="L20" s="32">
        <f>IF($A20="","",SUMPRODUCT(--('คำนวณ'!S$3:S$33&lt;&gt;""),--(UPPER(SUBSTITUTE('คำนวณ'!S$3:S$33,"*",""))&lt;&gt;"D"),--(UPPER(SUBSTITUTE('คำนวณ'!S$3:S$33,"*",""))&lt;&gt;"DE")))</f>
        <v/>
      </c>
    </row>
    <row r="21">
      <c r="A21" s="31">
        <f>IF('ตารางเวร'!$A$27="","",'ตารางเวร'!$A$27)</f>
        <v/>
      </c>
      <c r="B21" s="32">
        <f>IF($A21="","",SUMPRODUCT(--('คำนวณ'!T$3:T$33&lt;&gt;"")))</f>
        <v/>
      </c>
      <c r="C21" s="32">
        <f>IF($A21="","",SUMPRODUCT(--(UPPER(SUBSTITUTE('คำนวณ'!T$3:T$33,"*",""))="DE")))</f>
        <v/>
      </c>
      <c r="D21" s="32">
        <f>IF($A21="","",SUMPRODUCT(--(UPPER(SUBSTITUTE('คำนวณ'!T$3:T$33,"*",""))="D")))</f>
        <v/>
      </c>
      <c r="E21" s="32">
        <f>IF($A21="","",SUMPRODUCT(--('คำนวณ'!T$3:T$33&lt;&gt;""),'คำนวณ'!$DW$3:$DW$33))</f>
        <v/>
      </c>
      <c r="F21" s="32">
        <f>IF($A21="","",SUMPRODUCT(--('คำนวณ'!AN$3:AN$33&lt;999999999)))</f>
        <v/>
      </c>
      <c r="G21" s="33">
        <f>IF($A21="","",COUNTIF('จัดเวรรายวัน'!$K$4:$K$34,SUBSTITUTE(SUBSTITUTE(SUBSTITUTE($A21,"~","~~"),"*","~*"),"?","~?"))+COUNTIF('จัดเวรรายวัน'!$K$4:$K$34,SUBSTITUTE(SUBSTITUTE(SUBSTITUTE($A21,"~","~~"),"*","~*"),"?","~?")&amp;"(D)"))</f>
        <v/>
      </c>
      <c r="H21" s="34">
        <f>IF($A21="","",COUNTIF('จัดเวรรายวัน'!$L$4:$L$34,SUBSTITUTE(SUBSTITUTE(SUBSTITUTE($A21,"~","~~"),"*","~*"),"?","~?"))+COUNTIF('จัดเวรรายวัน'!$L$4:$L$34,SUBSTITUTE(SUBSTITUTE(SUBSTITUTE($A21,"~","~~"),"*","~*"),"?","~?")&amp;"(D)"))</f>
        <v/>
      </c>
      <c r="I21" s="35">
        <f>IF($A21="","",COUNTIF('จัดเวรรายวัน'!$M$4:$M$34,SUBSTITUTE(SUBSTITUTE(SUBSTITUTE($A21,"~","~~"),"*","~*"),"?","~?"))+COUNTIF('จัดเวรรายวัน'!$M$4:$M$34,SUBSTITUTE(SUBSTITUTE(SUBSTITUTE($A21,"~","~~"),"*","~*"),"?","~?")&amp;"(D)"))</f>
        <v/>
      </c>
      <c r="J21" s="36">
        <f>IF($A21="","",COUNTIF('จัดเวรรายวัน'!$N$4:$N$34,SUBSTITUTE(SUBSTITUTE(SUBSTITUTE($A21,"~","~~"),"*","~*"),"?","~?"))+COUNTIF('จัดเวรรายวัน'!$N$4:$N$34,SUBSTITUTE(SUBSTITUTE(SUBSTITUTE($A21,"~","~~"),"*","~*"),"?","~?")&amp;"(D)"))</f>
        <v/>
      </c>
      <c r="K21" s="32">
        <f>IF($A21="","",MAX('คำนวณ'!DT$3:DT$33))</f>
        <v/>
      </c>
      <c r="L21" s="32">
        <f>IF($A21="","",SUMPRODUCT(--('คำนวณ'!T$3:T$33&lt;&gt;""),--(UPPER(SUBSTITUTE('คำนวณ'!T$3:T$33,"*",""))&lt;&gt;"D"),--(UPPER(SUBSTITUTE('คำนวณ'!T$3:T$33,"*",""))&lt;&gt;"DE")))</f>
        <v/>
      </c>
    </row>
    <row r="22">
      <c r="A22" s="31">
        <f>IF('ตารางเวร'!$A$28="","",'ตารางเวร'!$A$28)</f>
        <v/>
      </c>
      <c r="B22" s="32">
        <f>IF($A22="","",SUMPRODUCT(--('คำนวณ'!U$3:U$33&lt;&gt;"")))</f>
        <v/>
      </c>
      <c r="C22" s="32">
        <f>IF($A22="","",SUMPRODUCT(--(UPPER(SUBSTITUTE('คำนวณ'!U$3:U$33,"*",""))="DE")))</f>
        <v/>
      </c>
      <c r="D22" s="32">
        <f>IF($A22="","",SUMPRODUCT(--(UPPER(SUBSTITUTE('คำนวณ'!U$3:U$33,"*",""))="D")))</f>
        <v/>
      </c>
      <c r="E22" s="32">
        <f>IF($A22="","",SUMPRODUCT(--('คำนวณ'!U$3:U$33&lt;&gt;""),'คำนวณ'!$DW$3:$DW$33))</f>
        <v/>
      </c>
      <c r="F22" s="32">
        <f>IF($A22="","",SUMPRODUCT(--('คำนวณ'!AO$3:AO$33&lt;999999999)))</f>
        <v/>
      </c>
      <c r="G22" s="33">
        <f>IF($A22="","",COUNTIF('จัดเวรรายวัน'!$K$4:$K$34,SUBSTITUTE(SUBSTITUTE(SUBSTITUTE($A22,"~","~~"),"*","~*"),"?","~?"))+COUNTIF('จัดเวรรายวัน'!$K$4:$K$34,SUBSTITUTE(SUBSTITUTE(SUBSTITUTE($A22,"~","~~"),"*","~*"),"?","~?")&amp;"(D)"))</f>
        <v/>
      </c>
      <c r="H22" s="34">
        <f>IF($A22="","",COUNTIF('จัดเวรรายวัน'!$L$4:$L$34,SUBSTITUTE(SUBSTITUTE(SUBSTITUTE($A22,"~","~~"),"*","~*"),"?","~?"))+COUNTIF('จัดเวรรายวัน'!$L$4:$L$34,SUBSTITUTE(SUBSTITUTE(SUBSTITUTE($A22,"~","~~"),"*","~*"),"?","~?")&amp;"(D)"))</f>
        <v/>
      </c>
      <c r="I22" s="35">
        <f>IF($A22="","",COUNTIF('จัดเวรรายวัน'!$M$4:$M$34,SUBSTITUTE(SUBSTITUTE(SUBSTITUTE($A22,"~","~~"),"*","~*"),"?","~?"))+COUNTIF('จัดเวรรายวัน'!$M$4:$M$34,SUBSTITUTE(SUBSTITUTE(SUBSTITUTE($A22,"~","~~"),"*","~*"),"?","~?")&amp;"(D)"))</f>
        <v/>
      </c>
      <c r="J22" s="36">
        <f>IF($A22="","",COUNTIF('จัดเวรรายวัน'!$N$4:$N$34,SUBSTITUTE(SUBSTITUTE(SUBSTITUTE($A22,"~","~~"),"*","~*"),"?","~?"))+COUNTIF('จัดเวรรายวัน'!$N$4:$N$34,SUBSTITUTE(SUBSTITUTE(SUBSTITUTE($A22,"~","~~"),"*","~*"),"?","~?")&amp;"(D)"))</f>
        <v/>
      </c>
      <c r="K22" s="32">
        <f>IF($A22="","",MAX('คำนวณ'!DU$3:DU$33))</f>
        <v/>
      </c>
      <c r="L22" s="32">
        <f>IF($A22="","",SUMPRODUCT(--('คำนวณ'!U$3:U$33&lt;&gt;""),--(UPPER(SUBSTITUTE('คำนวณ'!U$3:U$33,"*",""))&lt;&gt;"D"),--(UPPER(SUBSTITUTE('คำนวณ'!U$3:U$33,"*",""))&lt;&gt;"DE")))</f>
        <v/>
      </c>
    </row>
    <row r="23">
      <c r="A23" s="31">
        <f>IF('ตารางเวร'!$A$29="","",'ตารางเวร'!$A$29)</f>
        <v/>
      </c>
      <c r="B23" s="32">
        <f>IF($A23="","",SUMPRODUCT(--('คำนวณ'!V$3:V$33&lt;&gt;"")))</f>
        <v/>
      </c>
      <c r="C23" s="32">
        <f>IF($A23="","",SUMPRODUCT(--(UPPER(SUBSTITUTE('คำนวณ'!V$3:V$33,"*",""))="DE")))</f>
        <v/>
      </c>
      <c r="D23" s="32">
        <f>IF($A23="","",SUMPRODUCT(--(UPPER(SUBSTITUTE('คำนวณ'!V$3:V$33,"*",""))="D")))</f>
        <v/>
      </c>
      <c r="E23" s="32">
        <f>IF($A23="","",SUMPRODUCT(--('คำนวณ'!V$3:V$33&lt;&gt;""),'คำนวณ'!$DW$3:$DW$33))</f>
        <v/>
      </c>
      <c r="F23" s="32">
        <f>IF($A23="","",SUMPRODUCT(--('คำนวณ'!AP$3:AP$33&lt;999999999)))</f>
        <v/>
      </c>
      <c r="G23" s="33">
        <f>IF($A23="","",COUNTIF('จัดเวรรายวัน'!$K$4:$K$34,SUBSTITUTE(SUBSTITUTE(SUBSTITUTE($A23,"~","~~"),"*","~*"),"?","~?"))+COUNTIF('จัดเวรรายวัน'!$K$4:$K$34,SUBSTITUTE(SUBSTITUTE(SUBSTITUTE($A23,"~","~~"),"*","~*"),"?","~?")&amp;"(D)"))</f>
        <v/>
      </c>
      <c r="H23" s="34">
        <f>IF($A23="","",COUNTIF('จัดเวรรายวัน'!$L$4:$L$34,SUBSTITUTE(SUBSTITUTE(SUBSTITUTE($A23,"~","~~"),"*","~*"),"?","~?"))+COUNTIF('จัดเวรรายวัน'!$L$4:$L$34,SUBSTITUTE(SUBSTITUTE(SUBSTITUTE($A23,"~","~~"),"*","~*"),"?","~?")&amp;"(D)"))</f>
        <v/>
      </c>
      <c r="I23" s="35">
        <f>IF($A23="","",COUNTIF('จัดเวรรายวัน'!$M$4:$M$34,SUBSTITUTE(SUBSTITUTE(SUBSTITUTE($A23,"~","~~"),"*","~*"),"?","~?"))+COUNTIF('จัดเวรรายวัน'!$M$4:$M$34,SUBSTITUTE(SUBSTITUTE(SUBSTITUTE($A23,"~","~~"),"*","~*"),"?","~?")&amp;"(D)"))</f>
        <v/>
      </c>
      <c r="J23" s="36">
        <f>IF($A23="","",COUNTIF('จัดเวรรายวัน'!$N$4:$N$34,SUBSTITUTE(SUBSTITUTE(SUBSTITUTE($A23,"~","~~"),"*","~*"),"?","~?"))+COUNTIF('จัดเวรรายวัน'!$N$4:$N$34,SUBSTITUTE(SUBSTITUTE(SUBSTITUTE($A23,"~","~~"),"*","~*"),"?","~?")&amp;"(D)"))</f>
        <v/>
      </c>
      <c r="K23" s="32">
        <f>IF($A23="","",MAX('คำนวณ'!DV$3:DV$33))</f>
        <v/>
      </c>
      <c r="L23" s="32">
        <f>IF($A23="","",SUMPRODUCT(--('คำนวณ'!V$3:V$33&lt;&gt;""),--(UPPER(SUBSTITUTE('คำนวณ'!V$3:V$33,"*",""))&lt;&gt;"D"),--(UPPER(SUBSTITUTE('คำนวณ'!V$3:V$33,"*",""))&lt;&gt;"DE")))</f>
        <v/>
      </c>
    </row>
  </sheetData>
  <sheetProtection selectLockedCells="1" selectUnlockedCells="0" sheet="1" objects="0" insertRows="1" insertHyperlinks="1" autoFilter="0" scenarios="0" formatColumns="1" deleteColumns="1" insertColumns="1" pivotTables="1" deleteRows="1" formatCells="1" formatRows="1" sort="0"/>
  <mergeCells count="1">
    <mergeCell ref="A1:L1"/>
  </mergeCells>
  <conditionalFormatting sqref="B4:B23">
    <cfRule type="dataBar" priority="1">
      <dataBar>
        <cfvo type="num" val="0"/>
        <cfvo type="max"/>
        <color rgb="00638EC6"/>
      </dataBar>
    </cfRule>
  </conditionalFormatting>
  <conditionalFormatting sqref="E4:E23">
    <cfRule type="dataBar" priority="2">
      <dataBar>
        <cfvo type="num" val="0"/>
        <cfvo type="max"/>
        <color rgb="00638EC6"/>
      </dataBar>
    </cfRule>
  </conditionalFormatting>
  <conditionalFormatting sqref="G4:G23">
    <cfRule type="dataBar" priority="3">
      <dataBar>
        <cfvo type="num" val="0"/>
        <cfvo type="max"/>
        <color rgb="00638EC6"/>
      </dataBar>
    </cfRule>
  </conditionalFormatting>
  <conditionalFormatting sqref="H4:H23">
    <cfRule type="dataBar" priority="4">
      <dataBar>
        <cfvo type="num" val="0"/>
        <cfvo type="max"/>
        <color rgb="00638EC6"/>
      </dataBar>
    </cfRule>
  </conditionalFormatting>
  <conditionalFormatting sqref="I4:I23">
    <cfRule type="dataBar" priority="5">
      <dataBar>
        <cfvo type="num" val="0"/>
        <cfvo type="max"/>
        <color rgb="00638EC6"/>
      </dataBar>
    </cfRule>
  </conditionalFormatting>
  <conditionalFormatting sqref="J4:J23">
    <cfRule type="dataBar" priority="6">
      <dataBar>
        <cfvo type="num" val="0"/>
        <cfvo type="max"/>
        <color rgb="00638EC6"/>
      </dataBar>
    </cfRule>
  </conditionalFormatting>
  <conditionalFormatting sqref="K4:K23">
    <cfRule type="expression" priority="7" dxfId="6">
      <formula>AND(K4&lt;&gt;"",K4&gt;6)</formula>
    </cfRule>
  </conditionalFormatting>
  <conditionalFormatting sqref="L4:L23">
    <cfRule type="expression" priority="8" dxfId="6">
      <formula>AND(L4&lt;&gt;"",L4&gt;0)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9" customWidth="1" min="4" max="4"/>
    <col width="7" customWidth="1" min="5" max="5"/>
    <col width="46" customWidth="1" min="6" max="6"/>
    <col hidden="1" width="13" customWidth="1" min="8" max="8"/>
  </cols>
  <sheetData>
    <row r="1">
      <c r="A1" s="1" t="inlineStr">
        <is>
          <t>ตัวจับผิดตาราง</t>
        </is>
      </c>
      <c r="H1">
        <f>SUMPRODUCT(--('ตารางเวร'!$A$10:$A$29&lt;&gt;""),--(COUNTIF('ตารางเวร'!$A$10:$A$29,SUBSTITUTE(SUBSTITUTE(SUBSTITUTE('ตารางเวร'!$A$10:$A$29,"~","~~"),"*","~*"),"?","~?"))&gt;1))</f>
        <v/>
      </c>
    </row>
    <row r="2">
      <c r="A2" s="37">
        <f>IF(COUNTIF($F$5:$F$35,"?*")+SUM('สรุป'!$L$4:$L$23)+COUNTIF('สรุป'!$K$4:$K$23,"&gt;6")+$H$1=0,"✅ ตรวจแล้ว ไม่พบปัญหา","⚠️ พบ "&amp;COUNTIF($F$5:$F$35,"?*")&amp;" วันที่ต้องดู  ·  รหัสพิมพ์ผิด "&amp;SUM('สรุป'!$L$4:$L$23)&amp;" ช่อง  ·  เข้าติดกันเกิน 6 วัน "&amp;COUNTIF('สรุป'!$K$4:$K$23,"&gt;6")&amp;" คน"&amp;IF($H$1&gt;0,"  ·  ชื่อซ้ำกัน "&amp;$H$1&amp;" แถว (ทำให้ชีตสรุปนับผิด)",""))</f>
        <v/>
      </c>
      <c r="B2" s="37" t="n"/>
      <c r="C2" s="37" t="n"/>
      <c r="D2" s="37" t="n"/>
      <c r="E2" s="37" t="n"/>
      <c r="F2" s="37" t="n"/>
    </row>
    <row r="4">
      <c r="A4" s="9" t="inlineStr">
        <is>
          <t>วันที่</t>
        </is>
      </c>
      <c r="B4" s="9" t="inlineStr">
        <is>
          <t>วัน</t>
        </is>
      </c>
      <c r="C4" s="9" t="inlineStr">
        <is>
          <t>ซ้าย P2</t>
        </is>
      </c>
      <c r="D4" s="9" t="inlineStr">
        <is>
          <t>ขวา P1</t>
        </is>
      </c>
      <c r="E4" s="9" t="inlineStr">
        <is>
          <t>รวม</t>
        </is>
      </c>
      <c r="F4" s="9" t="inlineStr">
        <is>
          <t>ปัญหาที่พบ</t>
        </is>
      </c>
    </row>
    <row r="5">
      <c r="A5" s="32">
        <f>IF('คำนวณ'!$B3=0,"",'คำนวณ'!$A3)</f>
        <v/>
      </c>
      <c r="B5" s="32">
        <f>IF('คำนวณ'!$B3=0,"",'ตารางเวร'!C$9)</f>
        <v/>
      </c>
      <c r="C5" s="32">
        <f>IF('คำนวณ'!$B3=0,"",'คำนวณ'!$DA3)</f>
        <v/>
      </c>
      <c r="D5" s="32">
        <f>IF('คำนวณ'!$B3=0,"",'คำนวณ'!$CZ3)</f>
        <v/>
      </c>
      <c r="E5" s="32">
        <f>IF('คำนวณ'!$B3=0,"",'คำนวณ'!$CZ3+'คำนวณ'!$DA3)</f>
        <v/>
      </c>
      <c r="F5" s="38">
        <f>IF('คำนวณ'!$B3=0,"",TRIM(IF('คำนวณ'!$CZ3+'คำนวณ'!$DA3=0,"ไม่มีคนเข้าเวรเลย  ","")&amp;IF(AND('คำนวณ'!$DX3=1,'คำนวณ'!$CZ3&gt;0),"วันนี้ฝั่ง P1 ต้องหยุด แต่มีคนแต้มสี "&amp;'คำนวณ'!$CZ3&amp;" คน  ","")&amp;IF(AND('คำนวณ'!$DX3=0,'คำนวณ'!$CZ3+'คำนวณ'!$DA3&gt;0,'คำนวณ'!$CZ3=0),"ไม่มีคนฝั่งขวา (P1)  ","")&amp;IF('คำนวณ'!$CZ3&gt;4,"ขวาเกิน "&amp;('คำนวณ'!$CZ3-4)&amp;" คน  ","")&amp;IF('คำนวณ'!$DA3&gt;8,"ซ้ายเกิน "&amp;('คำนวณ'!$DA3-8)&amp;" คน","")))</f>
        <v/>
      </c>
    </row>
    <row r="6">
      <c r="A6" s="32">
        <f>IF('คำนวณ'!$B4=0,"",'คำนวณ'!$A4)</f>
        <v/>
      </c>
      <c r="B6" s="32">
        <f>IF('คำนวณ'!$B4=0,"",'ตารางเวร'!D$9)</f>
        <v/>
      </c>
      <c r="C6" s="32">
        <f>IF('คำนวณ'!$B4=0,"",'คำนวณ'!$DA4)</f>
        <v/>
      </c>
      <c r="D6" s="32">
        <f>IF('คำนวณ'!$B4=0,"",'คำนวณ'!$CZ4)</f>
        <v/>
      </c>
      <c r="E6" s="32">
        <f>IF('คำนวณ'!$B4=0,"",'คำนวณ'!$CZ4+'คำนวณ'!$DA4)</f>
        <v/>
      </c>
      <c r="F6" s="38">
        <f>IF('คำนวณ'!$B4=0,"",TRIM(IF('คำนวณ'!$CZ4+'คำนวณ'!$DA4=0,"ไม่มีคนเข้าเวรเลย  ","")&amp;IF(AND('คำนวณ'!$DX4=1,'คำนวณ'!$CZ4&gt;0),"วันนี้ฝั่ง P1 ต้องหยุด แต่มีคนแต้มสี "&amp;'คำนวณ'!$CZ4&amp;" คน  ","")&amp;IF(AND('คำนวณ'!$DX4=0,'คำนวณ'!$CZ4+'คำนวณ'!$DA4&gt;0,'คำนวณ'!$CZ4=0),"ไม่มีคนฝั่งขวา (P1)  ","")&amp;IF('คำนวณ'!$CZ4&gt;4,"ขวาเกิน "&amp;('คำนวณ'!$CZ4-4)&amp;" คน  ","")&amp;IF('คำนวณ'!$DA4&gt;8,"ซ้ายเกิน "&amp;('คำนวณ'!$DA4-8)&amp;" คน","")))</f>
        <v/>
      </c>
    </row>
    <row r="7">
      <c r="A7" s="32">
        <f>IF('คำนวณ'!$B5=0,"",'คำนวณ'!$A5)</f>
        <v/>
      </c>
      <c r="B7" s="32">
        <f>IF('คำนวณ'!$B5=0,"",'ตารางเวร'!E$9)</f>
        <v/>
      </c>
      <c r="C7" s="32">
        <f>IF('คำนวณ'!$B5=0,"",'คำนวณ'!$DA5)</f>
        <v/>
      </c>
      <c r="D7" s="32">
        <f>IF('คำนวณ'!$B5=0,"",'คำนวณ'!$CZ5)</f>
        <v/>
      </c>
      <c r="E7" s="32">
        <f>IF('คำนวณ'!$B5=0,"",'คำนวณ'!$CZ5+'คำนวณ'!$DA5)</f>
        <v/>
      </c>
      <c r="F7" s="38">
        <f>IF('คำนวณ'!$B5=0,"",TRIM(IF('คำนวณ'!$CZ5+'คำนวณ'!$DA5=0,"ไม่มีคนเข้าเวรเลย  ","")&amp;IF(AND('คำนวณ'!$DX5=1,'คำนวณ'!$CZ5&gt;0),"วันนี้ฝั่ง P1 ต้องหยุด แต่มีคนแต้มสี "&amp;'คำนวณ'!$CZ5&amp;" คน  ","")&amp;IF(AND('คำนวณ'!$DX5=0,'คำนวณ'!$CZ5+'คำนวณ'!$DA5&gt;0,'คำนวณ'!$CZ5=0),"ไม่มีคนฝั่งขวา (P1)  ","")&amp;IF('คำนวณ'!$CZ5&gt;4,"ขวาเกิน "&amp;('คำนวณ'!$CZ5-4)&amp;" คน  ","")&amp;IF('คำนวณ'!$DA5&gt;8,"ซ้ายเกิน "&amp;('คำนวณ'!$DA5-8)&amp;" คน","")))</f>
        <v/>
      </c>
    </row>
    <row r="8">
      <c r="A8" s="32">
        <f>IF('คำนวณ'!$B6=0,"",'คำนวณ'!$A6)</f>
        <v/>
      </c>
      <c r="B8" s="32">
        <f>IF('คำนวณ'!$B6=0,"",'ตารางเวร'!F$9)</f>
        <v/>
      </c>
      <c r="C8" s="32">
        <f>IF('คำนวณ'!$B6=0,"",'คำนวณ'!$DA6)</f>
        <v/>
      </c>
      <c r="D8" s="32">
        <f>IF('คำนวณ'!$B6=0,"",'คำนวณ'!$CZ6)</f>
        <v/>
      </c>
      <c r="E8" s="32">
        <f>IF('คำนวณ'!$B6=0,"",'คำนวณ'!$CZ6+'คำนวณ'!$DA6)</f>
        <v/>
      </c>
      <c r="F8" s="38">
        <f>IF('คำนวณ'!$B6=0,"",TRIM(IF('คำนวณ'!$CZ6+'คำนวณ'!$DA6=0,"ไม่มีคนเข้าเวรเลย  ","")&amp;IF(AND('คำนวณ'!$DX6=1,'คำนวณ'!$CZ6&gt;0),"วันนี้ฝั่ง P1 ต้องหยุด แต่มีคนแต้มสี "&amp;'คำนวณ'!$CZ6&amp;" คน  ","")&amp;IF(AND('คำนวณ'!$DX6=0,'คำนวณ'!$CZ6+'คำนวณ'!$DA6&gt;0,'คำนวณ'!$CZ6=0),"ไม่มีคนฝั่งขวา (P1)  ","")&amp;IF('คำนวณ'!$CZ6&gt;4,"ขวาเกิน "&amp;('คำนวณ'!$CZ6-4)&amp;" คน  ","")&amp;IF('คำนวณ'!$DA6&gt;8,"ซ้ายเกิน "&amp;('คำนวณ'!$DA6-8)&amp;" คน","")))</f>
        <v/>
      </c>
    </row>
    <row r="9">
      <c r="A9" s="32">
        <f>IF('คำนวณ'!$B7=0,"",'คำนวณ'!$A7)</f>
        <v/>
      </c>
      <c r="B9" s="32">
        <f>IF('คำนวณ'!$B7=0,"",'ตารางเวร'!G$9)</f>
        <v/>
      </c>
      <c r="C9" s="32">
        <f>IF('คำนวณ'!$B7=0,"",'คำนวณ'!$DA7)</f>
        <v/>
      </c>
      <c r="D9" s="32">
        <f>IF('คำนวณ'!$B7=0,"",'คำนวณ'!$CZ7)</f>
        <v/>
      </c>
      <c r="E9" s="32">
        <f>IF('คำนวณ'!$B7=0,"",'คำนวณ'!$CZ7+'คำนวณ'!$DA7)</f>
        <v/>
      </c>
      <c r="F9" s="38">
        <f>IF('คำนวณ'!$B7=0,"",TRIM(IF('คำนวณ'!$CZ7+'คำนวณ'!$DA7=0,"ไม่มีคนเข้าเวรเลย  ","")&amp;IF(AND('คำนวณ'!$DX7=1,'คำนวณ'!$CZ7&gt;0),"วันนี้ฝั่ง P1 ต้องหยุด แต่มีคนแต้มสี "&amp;'คำนวณ'!$CZ7&amp;" คน  ","")&amp;IF(AND('คำนวณ'!$DX7=0,'คำนวณ'!$CZ7+'คำนวณ'!$DA7&gt;0,'คำนวณ'!$CZ7=0),"ไม่มีคนฝั่งขวา (P1)  ","")&amp;IF('คำนวณ'!$CZ7&gt;4,"ขวาเกิน "&amp;('คำนวณ'!$CZ7-4)&amp;" คน  ","")&amp;IF('คำนวณ'!$DA7&gt;8,"ซ้ายเกิน "&amp;('คำนวณ'!$DA7-8)&amp;" คน","")))</f>
        <v/>
      </c>
    </row>
    <row r="10">
      <c r="A10" s="32">
        <f>IF('คำนวณ'!$B8=0,"",'คำนวณ'!$A8)</f>
        <v/>
      </c>
      <c r="B10" s="32">
        <f>IF('คำนวณ'!$B8=0,"",'ตารางเวร'!H$9)</f>
        <v/>
      </c>
      <c r="C10" s="32">
        <f>IF('คำนวณ'!$B8=0,"",'คำนวณ'!$DA8)</f>
        <v/>
      </c>
      <c r="D10" s="32">
        <f>IF('คำนวณ'!$B8=0,"",'คำนวณ'!$CZ8)</f>
        <v/>
      </c>
      <c r="E10" s="32">
        <f>IF('คำนวณ'!$B8=0,"",'คำนวณ'!$CZ8+'คำนวณ'!$DA8)</f>
        <v/>
      </c>
      <c r="F10" s="38">
        <f>IF('คำนวณ'!$B8=0,"",TRIM(IF('คำนวณ'!$CZ8+'คำนวณ'!$DA8=0,"ไม่มีคนเข้าเวรเลย  ","")&amp;IF(AND('คำนวณ'!$DX8=1,'คำนวณ'!$CZ8&gt;0),"วันนี้ฝั่ง P1 ต้องหยุด แต่มีคนแต้มสี "&amp;'คำนวณ'!$CZ8&amp;" คน  ","")&amp;IF(AND('คำนวณ'!$DX8=0,'คำนวณ'!$CZ8+'คำนวณ'!$DA8&gt;0,'คำนวณ'!$CZ8=0),"ไม่มีคนฝั่งขวา (P1)  ","")&amp;IF('คำนวณ'!$CZ8&gt;4,"ขวาเกิน "&amp;('คำนวณ'!$CZ8-4)&amp;" คน  ","")&amp;IF('คำนวณ'!$DA8&gt;8,"ซ้ายเกิน "&amp;('คำนวณ'!$DA8-8)&amp;" คน","")))</f>
        <v/>
      </c>
    </row>
    <row r="11">
      <c r="A11" s="32">
        <f>IF('คำนวณ'!$B9=0,"",'คำนวณ'!$A9)</f>
        <v/>
      </c>
      <c r="B11" s="32">
        <f>IF('คำนวณ'!$B9=0,"",'ตารางเวร'!I$9)</f>
        <v/>
      </c>
      <c r="C11" s="32">
        <f>IF('คำนวณ'!$B9=0,"",'คำนวณ'!$DA9)</f>
        <v/>
      </c>
      <c r="D11" s="32">
        <f>IF('คำนวณ'!$B9=0,"",'คำนวณ'!$CZ9)</f>
        <v/>
      </c>
      <c r="E11" s="32">
        <f>IF('คำนวณ'!$B9=0,"",'คำนวณ'!$CZ9+'คำนวณ'!$DA9)</f>
        <v/>
      </c>
      <c r="F11" s="38">
        <f>IF('คำนวณ'!$B9=0,"",TRIM(IF('คำนวณ'!$CZ9+'คำนวณ'!$DA9=0,"ไม่มีคนเข้าเวรเลย  ","")&amp;IF(AND('คำนวณ'!$DX9=1,'คำนวณ'!$CZ9&gt;0),"วันนี้ฝั่ง P1 ต้องหยุด แต่มีคนแต้มสี "&amp;'คำนวณ'!$CZ9&amp;" คน  ","")&amp;IF(AND('คำนวณ'!$DX9=0,'คำนวณ'!$CZ9+'คำนวณ'!$DA9&gt;0,'คำนวณ'!$CZ9=0),"ไม่มีคนฝั่งขวา (P1)  ","")&amp;IF('คำนวณ'!$CZ9&gt;4,"ขวาเกิน "&amp;('คำนวณ'!$CZ9-4)&amp;" คน  ","")&amp;IF('คำนวณ'!$DA9&gt;8,"ซ้ายเกิน "&amp;('คำนวณ'!$DA9-8)&amp;" คน","")))</f>
        <v/>
      </c>
    </row>
    <row r="12">
      <c r="A12" s="32">
        <f>IF('คำนวณ'!$B10=0,"",'คำนวณ'!$A10)</f>
        <v/>
      </c>
      <c r="B12" s="32">
        <f>IF('คำนวณ'!$B10=0,"",'ตารางเวร'!J$9)</f>
        <v/>
      </c>
      <c r="C12" s="32">
        <f>IF('คำนวณ'!$B10=0,"",'คำนวณ'!$DA10)</f>
        <v/>
      </c>
      <c r="D12" s="32">
        <f>IF('คำนวณ'!$B10=0,"",'คำนวณ'!$CZ10)</f>
        <v/>
      </c>
      <c r="E12" s="32">
        <f>IF('คำนวณ'!$B10=0,"",'คำนวณ'!$CZ10+'คำนวณ'!$DA10)</f>
        <v/>
      </c>
      <c r="F12" s="38">
        <f>IF('คำนวณ'!$B10=0,"",TRIM(IF('คำนวณ'!$CZ10+'คำนวณ'!$DA10=0,"ไม่มีคนเข้าเวรเลย  ","")&amp;IF(AND('คำนวณ'!$DX10=1,'คำนวณ'!$CZ10&gt;0),"วันนี้ฝั่ง P1 ต้องหยุด แต่มีคนแต้มสี "&amp;'คำนวณ'!$CZ10&amp;" คน  ","")&amp;IF(AND('คำนวณ'!$DX10=0,'คำนวณ'!$CZ10+'คำนวณ'!$DA10&gt;0,'คำนวณ'!$CZ10=0),"ไม่มีคนฝั่งขวา (P1)  ","")&amp;IF('คำนวณ'!$CZ10&gt;4,"ขวาเกิน "&amp;('คำนวณ'!$CZ10-4)&amp;" คน  ","")&amp;IF('คำนวณ'!$DA10&gt;8,"ซ้ายเกิน "&amp;('คำนวณ'!$DA10-8)&amp;" คน","")))</f>
        <v/>
      </c>
    </row>
    <row r="13">
      <c r="A13" s="32">
        <f>IF('คำนวณ'!$B11=0,"",'คำนวณ'!$A11)</f>
        <v/>
      </c>
      <c r="B13" s="32">
        <f>IF('คำนวณ'!$B11=0,"",'ตารางเวร'!K$9)</f>
        <v/>
      </c>
      <c r="C13" s="32">
        <f>IF('คำนวณ'!$B11=0,"",'คำนวณ'!$DA11)</f>
        <v/>
      </c>
      <c r="D13" s="32">
        <f>IF('คำนวณ'!$B11=0,"",'คำนวณ'!$CZ11)</f>
        <v/>
      </c>
      <c r="E13" s="32">
        <f>IF('คำนวณ'!$B11=0,"",'คำนวณ'!$CZ11+'คำนวณ'!$DA11)</f>
        <v/>
      </c>
      <c r="F13" s="38">
        <f>IF('คำนวณ'!$B11=0,"",TRIM(IF('คำนวณ'!$CZ11+'คำนวณ'!$DA11=0,"ไม่มีคนเข้าเวรเลย  ","")&amp;IF(AND('คำนวณ'!$DX11=1,'คำนวณ'!$CZ11&gt;0),"วันนี้ฝั่ง P1 ต้องหยุด แต่มีคนแต้มสี "&amp;'คำนวณ'!$CZ11&amp;" คน  ","")&amp;IF(AND('คำนวณ'!$DX11=0,'คำนวณ'!$CZ11+'คำนวณ'!$DA11&gt;0,'คำนวณ'!$CZ11=0),"ไม่มีคนฝั่งขวา (P1)  ","")&amp;IF('คำนวณ'!$CZ11&gt;4,"ขวาเกิน "&amp;('คำนวณ'!$CZ11-4)&amp;" คน  ","")&amp;IF('คำนวณ'!$DA11&gt;8,"ซ้ายเกิน "&amp;('คำนวณ'!$DA11-8)&amp;" คน","")))</f>
        <v/>
      </c>
    </row>
    <row r="14">
      <c r="A14" s="32">
        <f>IF('คำนวณ'!$B12=0,"",'คำนวณ'!$A12)</f>
        <v/>
      </c>
      <c r="B14" s="32">
        <f>IF('คำนวณ'!$B12=0,"",'ตารางเวร'!L$9)</f>
        <v/>
      </c>
      <c r="C14" s="32">
        <f>IF('คำนวณ'!$B12=0,"",'คำนวณ'!$DA12)</f>
        <v/>
      </c>
      <c r="D14" s="32">
        <f>IF('คำนวณ'!$B12=0,"",'คำนวณ'!$CZ12)</f>
        <v/>
      </c>
      <c r="E14" s="32">
        <f>IF('คำนวณ'!$B12=0,"",'คำนวณ'!$CZ12+'คำนวณ'!$DA12)</f>
        <v/>
      </c>
      <c r="F14" s="38">
        <f>IF('คำนวณ'!$B12=0,"",TRIM(IF('คำนวณ'!$CZ12+'คำนวณ'!$DA12=0,"ไม่มีคนเข้าเวรเลย  ","")&amp;IF(AND('คำนวณ'!$DX12=1,'คำนวณ'!$CZ12&gt;0),"วันนี้ฝั่ง P1 ต้องหยุด แต่มีคนแต้มสี "&amp;'คำนวณ'!$CZ12&amp;" คน  ","")&amp;IF(AND('คำนวณ'!$DX12=0,'คำนวณ'!$CZ12+'คำนวณ'!$DA12&gt;0,'คำนวณ'!$CZ12=0),"ไม่มีคนฝั่งขวา (P1)  ","")&amp;IF('คำนวณ'!$CZ12&gt;4,"ขวาเกิน "&amp;('คำนวณ'!$CZ12-4)&amp;" คน  ","")&amp;IF('คำนวณ'!$DA12&gt;8,"ซ้ายเกิน "&amp;('คำนวณ'!$DA12-8)&amp;" คน","")))</f>
        <v/>
      </c>
    </row>
    <row r="15">
      <c r="A15" s="32">
        <f>IF('คำนวณ'!$B13=0,"",'คำนวณ'!$A13)</f>
        <v/>
      </c>
      <c r="B15" s="32">
        <f>IF('คำนวณ'!$B13=0,"",'ตารางเวร'!M$9)</f>
        <v/>
      </c>
      <c r="C15" s="32">
        <f>IF('คำนวณ'!$B13=0,"",'คำนวณ'!$DA13)</f>
        <v/>
      </c>
      <c r="D15" s="32">
        <f>IF('คำนวณ'!$B13=0,"",'คำนวณ'!$CZ13)</f>
        <v/>
      </c>
      <c r="E15" s="32">
        <f>IF('คำนวณ'!$B13=0,"",'คำนวณ'!$CZ13+'คำนวณ'!$DA13)</f>
        <v/>
      </c>
      <c r="F15" s="38">
        <f>IF('คำนวณ'!$B13=0,"",TRIM(IF('คำนวณ'!$CZ13+'คำนวณ'!$DA13=0,"ไม่มีคนเข้าเวรเลย  ","")&amp;IF(AND('คำนวณ'!$DX13=1,'คำนวณ'!$CZ13&gt;0),"วันนี้ฝั่ง P1 ต้องหยุด แต่มีคนแต้มสี "&amp;'คำนวณ'!$CZ13&amp;" คน  ","")&amp;IF(AND('คำนวณ'!$DX13=0,'คำนวณ'!$CZ13+'คำนวณ'!$DA13&gt;0,'คำนวณ'!$CZ13=0),"ไม่มีคนฝั่งขวา (P1)  ","")&amp;IF('คำนวณ'!$CZ13&gt;4,"ขวาเกิน "&amp;('คำนวณ'!$CZ13-4)&amp;" คน  ","")&amp;IF('คำนวณ'!$DA13&gt;8,"ซ้ายเกิน "&amp;('คำนวณ'!$DA13-8)&amp;" คน","")))</f>
        <v/>
      </c>
    </row>
    <row r="16">
      <c r="A16" s="32">
        <f>IF('คำนวณ'!$B14=0,"",'คำนวณ'!$A14)</f>
        <v/>
      </c>
      <c r="B16" s="32">
        <f>IF('คำนวณ'!$B14=0,"",'ตารางเวร'!N$9)</f>
        <v/>
      </c>
      <c r="C16" s="32">
        <f>IF('คำนวณ'!$B14=0,"",'คำนวณ'!$DA14)</f>
        <v/>
      </c>
      <c r="D16" s="32">
        <f>IF('คำนวณ'!$B14=0,"",'คำนวณ'!$CZ14)</f>
        <v/>
      </c>
      <c r="E16" s="32">
        <f>IF('คำนวณ'!$B14=0,"",'คำนวณ'!$CZ14+'คำนวณ'!$DA14)</f>
        <v/>
      </c>
      <c r="F16" s="38">
        <f>IF('คำนวณ'!$B14=0,"",TRIM(IF('คำนวณ'!$CZ14+'คำนวณ'!$DA14=0,"ไม่มีคนเข้าเวรเลย  ","")&amp;IF(AND('คำนวณ'!$DX14=1,'คำนวณ'!$CZ14&gt;0),"วันนี้ฝั่ง P1 ต้องหยุด แต่มีคนแต้มสี "&amp;'คำนวณ'!$CZ14&amp;" คน  ","")&amp;IF(AND('คำนวณ'!$DX14=0,'คำนวณ'!$CZ14+'คำนวณ'!$DA14&gt;0,'คำนวณ'!$CZ14=0),"ไม่มีคนฝั่งขวา (P1)  ","")&amp;IF('คำนวณ'!$CZ14&gt;4,"ขวาเกิน "&amp;('คำนวณ'!$CZ14-4)&amp;" คน  ","")&amp;IF('คำนวณ'!$DA14&gt;8,"ซ้ายเกิน "&amp;('คำนวณ'!$DA14-8)&amp;" คน","")))</f>
        <v/>
      </c>
    </row>
    <row r="17">
      <c r="A17" s="32">
        <f>IF('คำนวณ'!$B15=0,"",'คำนวณ'!$A15)</f>
        <v/>
      </c>
      <c r="B17" s="32">
        <f>IF('คำนวณ'!$B15=0,"",'ตารางเวร'!O$9)</f>
        <v/>
      </c>
      <c r="C17" s="32">
        <f>IF('คำนวณ'!$B15=0,"",'คำนวณ'!$DA15)</f>
        <v/>
      </c>
      <c r="D17" s="32">
        <f>IF('คำนวณ'!$B15=0,"",'คำนวณ'!$CZ15)</f>
        <v/>
      </c>
      <c r="E17" s="32">
        <f>IF('คำนวณ'!$B15=0,"",'คำนวณ'!$CZ15+'คำนวณ'!$DA15)</f>
        <v/>
      </c>
      <c r="F17" s="38">
        <f>IF('คำนวณ'!$B15=0,"",TRIM(IF('คำนวณ'!$CZ15+'คำนวณ'!$DA15=0,"ไม่มีคนเข้าเวรเลย  ","")&amp;IF(AND('คำนวณ'!$DX15=1,'คำนวณ'!$CZ15&gt;0),"วันนี้ฝั่ง P1 ต้องหยุด แต่มีคนแต้มสี "&amp;'คำนวณ'!$CZ15&amp;" คน  ","")&amp;IF(AND('คำนวณ'!$DX15=0,'คำนวณ'!$CZ15+'คำนวณ'!$DA15&gt;0,'คำนวณ'!$CZ15=0),"ไม่มีคนฝั่งขวา (P1)  ","")&amp;IF('คำนวณ'!$CZ15&gt;4,"ขวาเกิน "&amp;('คำนวณ'!$CZ15-4)&amp;" คน  ","")&amp;IF('คำนวณ'!$DA15&gt;8,"ซ้ายเกิน "&amp;('คำนวณ'!$DA15-8)&amp;" คน","")))</f>
        <v/>
      </c>
    </row>
    <row r="18">
      <c r="A18" s="32">
        <f>IF('คำนวณ'!$B16=0,"",'คำนวณ'!$A16)</f>
        <v/>
      </c>
      <c r="B18" s="32">
        <f>IF('คำนวณ'!$B16=0,"",'ตารางเวร'!P$9)</f>
        <v/>
      </c>
      <c r="C18" s="32">
        <f>IF('คำนวณ'!$B16=0,"",'คำนวณ'!$DA16)</f>
        <v/>
      </c>
      <c r="D18" s="32">
        <f>IF('คำนวณ'!$B16=0,"",'คำนวณ'!$CZ16)</f>
        <v/>
      </c>
      <c r="E18" s="32">
        <f>IF('คำนวณ'!$B16=0,"",'คำนวณ'!$CZ16+'คำนวณ'!$DA16)</f>
        <v/>
      </c>
      <c r="F18" s="38">
        <f>IF('คำนวณ'!$B16=0,"",TRIM(IF('คำนวณ'!$CZ16+'คำนวณ'!$DA16=0,"ไม่มีคนเข้าเวรเลย  ","")&amp;IF(AND('คำนวณ'!$DX16=1,'คำนวณ'!$CZ16&gt;0),"วันนี้ฝั่ง P1 ต้องหยุด แต่มีคนแต้มสี "&amp;'คำนวณ'!$CZ16&amp;" คน  ","")&amp;IF(AND('คำนวณ'!$DX16=0,'คำนวณ'!$CZ16+'คำนวณ'!$DA16&gt;0,'คำนวณ'!$CZ16=0),"ไม่มีคนฝั่งขวา (P1)  ","")&amp;IF('คำนวณ'!$CZ16&gt;4,"ขวาเกิน "&amp;('คำนวณ'!$CZ16-4)&amp;" คน  ","")&amp;IF('คำนวณ'!$DA16&gt;8,"ซ้ายเกิน "&amp;('คำนวณ'!$DA16-8)&amp;" คน","")))</f>
        <v/>
      </c>
    </row>
    <row r="19">
      <c r="A19" s="32">
        <f>IF('คำนวณ'!$B17=0,"",'คำนวณ'!$A17)</f>
        <v/>
      </c>
      <c r="B19" s="32">
        <f>IF('คำนวณ'!$B17=0,"",'ตารางเวร'!Q$9)</f>
        <v/>
      </c>
      <c r="C19" s="32">
        <f>IF('คำนวณ'!$B17=0,"",'คำนวณ'!$DA17)</f>
        <v/>
      </c>
      <c r="D19" s="32">
        <f>IF('คำนวณ'!$B17=0,"",'คำนวณ'!$CZ17)</f>
        <v/>
      </c>
      <c r="E19" s="32">
        <f>IF('คำนวณ'!$B17=0,"",'คำนวณ'!$CZ17+'คำนวณ'!$DA17)</f>
        <v/>
      </c>
      <c r="F19" s="38">
        <f>IF('คำนวณ'!$B17=0,"",TRIM(IF('คำนวณ'!$CZ17+'คำนวณ'!$DA17=0,"ไม่มีคนเข้าเวรเลย  ","")&amp;IF(AND('คำนวณ'!$DX17=1,'คำนวณ'!$CZ17&gt;0),"วันนี้ฝั่ง P1 ต้องหยุด แต่มีคนแต้มสี "&amp;'คำนวณ'!$CZ17&amp;" คน  ","")&amp;IF(AND('คำนวณ'!$DX17=0,'คำนวณ'!$CZ17+'คำนวณ'!$DA17&gt;0,'คำนวณ'!$CZ17=0),"ไม่มีคนฝั่งขวา (P1)  ","")&amp;IF('คำนวณ'!$CZ17&gt;4,"ขวาเกิน "&amp;('คำนวณ'!$CZ17-4)&amp;" คน  ","")&amp;IF('คำนวณ'!$DA17&gt;8,"ซ้ายเกิน "&amp;('คำนวณ'!$DA17-8)&amp;" คน","")))</f>
        <v/>
      </c>
    </row>
    <row r="20">
      <c r="A20" s="32">
        <f>IF('คำนวณ'!$B18=0,"",'คำนวณ'!$A18)</f>
        <v/>
      </c>
      <c r="B20" s="32">
        <f>IF('คำนวณ'!$B18=0,"",'ตารางเวร'!R$9)</f>
        <v/>
      </c>
      <c r="C20" s="32">
        <f>IF('คำนวณ'!$B18=0,"",'คำนวณ'!$DA18)</f>
        <v/>
      </c>
      <c r="D20" s="32">
        <f>IF('คำนวณ'!$B18=0,"",'คำนวณ'!$CZ18)</f>
        <v/>
      </c>
      <c r="E20" s="32">
        <f>IF('คำนวณ'!$B18=0,"",'คำนวณ'!$CZ18+'คำนวณ'!$DA18)</f>
        <v/>
      </c>
      <c r="F20" s="38">
        <f>IF('คำนวณ'!$B18=0,"",TRIM(IF('คำนวณ'!$CZ18+'คำนวณ'!$DA18=0,"ไม่มีคนเข้าเวรเลย  ","")&amp;IF(AND('คำนวณ'!$DX18=1,'คำนวณ'!$CZ18&gt;0),"วันนี้ฝั่ง P1 ต้องหยุด แต่มีคนแต้มสี "&amp;'คำนวณ'!$CZ18&amp;" คน  ","")&amp;IF(AND('คำนวณ'!$DX18=0,'คำนวณ'!$CZ18+'คำนวณ'!$DA18&gt;0,'คำนวณ'!$CZ18=0),"ไม่มีคนฝั่งขวา (P1)  ","")&amp;IF('คำนวณ'!$CZ18&gt;4,"ขวาเกิน "&amp;('คำนวณ'!$CZ18-4)&amp;" คน  ","")&amp;IF('คำนวณ'!$DA18&gt;8,"ซ้ายเกิน "&amp;('คำนวณ'!$DA18-8)&amp;" คน","")))</f>
        <v/>
      </c>
    </row>
    <row r="21">
      <c r="A21" s="32">
        <f>IF('คำนวณ'!$B19=0,"",'คำนวณ'!$A19)</f>
        <v/>
      </c>
      <c r="B21" s="32">
        <f>IF('คำนวณ'!$B19=0,"",'ตารางเวร'!S$9)</f>
        <v/>
      </c>
      <c r="C21" s="32">
        <f>IF('คำนวณ'!$B19=0,"",'คำนวณ'!$DA19)</f>
        <v/>
      </c>
      <c r="D21" s="32">
        <f>IF('คำนวณ'!$B19=0,"",'คำนวณ'!$CZ19)</f>
        <v/>
      </c>
      <c r="E21" s="32">
        <f>IF('คำนวณ'!$B19=0,"",'คำนวณ'!$CZ19+'คำนวณ'!$DA19)</f>
        <v/>
      </c>
      <c r="F21" s="38">
        <f>IF('คำนวณ'!$B19=0,"",TRIM(IF('คำนวณ'!$CZ19+'คำนวณ'!$DA19=0,"ไม่มีคนเข้าเวรเลย  ","")&amp;IF(AND('คำนวณ'!$DX19=1,'คำนวณ'!$CZ19&gt;0),"วันนี้ฝั่ง P1 ต้องหยุด แต่มีคนแต้มสี "&amp;'คำนวณ'!$CZ19&amp;" คน  ","")&amp;IF(AND('คำนวณ'!$DX19=0,'คำนวณ'!$CZ19+'คำนวณ'!$DA19&gt;0,'คำนวณ'!$CZ19=0),"ไม่มีคนฝั่งขวา (P1)  ","")&amp;IF('คำนวณ'!$CZ19&gt;4,"ขวาเกิน "&amp;('คำนวณ'!$CZ19-4)&amp;" คน  ","")&amp;IF('คำนวณ'!$DA19&gt;8,"ซ้ายเกิน "&amp;('คำนวณ'!$DA19-8)&amp;" คน","")))</f>
        <v/>
      </c>
    </row>
    <row r="22">
      <c r="A22" s="32">
        <f>IF('คำนวณ'!$B20=0,"",'คำนวณ'!$A20)</f>
        <v/>
      </c>
      <c r="B22" s="32">
        <f>IF('คำนวณ'!$B20=0,"",'ตารางเวร'!T$9)</f>
        <v/>
      </c>
      <c r="C22" s="32">
        <f>IF('คำนวณ'!$B20=0,"",'คำนวณ'!$DA20)</f>
        <v/>
      </c>
      <c r="D22" s="32">
        <f>IF('คำนวณ'!$B20=0,"",'คำนวณ'!$CZ20)</f>
        <v/>
      </c>
      <c r="E22" s="32">
        <f>IF('คำนวณ'!$B20=0,"",'คำนวณ'!$CZ20+'คำนวณ'!$DA20)</f>
        <v/>
      </c>
      <c r="F22" s="38">
        <f>IF('คำนวณ'!$B20=0,"",TRIM(IF('คำนวณ'!$CZ20+'คำนวณ'!$DA20=0,"ไม่มีคนเข้าเวรเลย  ","")&amp;IF(AND('คำนวณ'!$DX20=1,'คำนวณ'!$CZ20&gt;0),"วันนี้ฝั่ง P1 ต้องหยุด แต่มีคนแต้มสี "&amp;'คำนวณ'!$CZ20&amp;" คน  ","")&amp;IF(AND('คำนวณ'!$DX20=0,'คำนวณ'!$CZ20+'คำนวณ'!$DA20&gt;0,'คำนวณ'!$CZ20=0),"ไม่มีคนฝั่งขวา (P1)  ","")&amp;IF('คำนวณ'!$CZ20&gt;4,"ขวาเกิน "&amp;('คำนวณ'!$CZ20-4)&amp;" คน  ","")&amp;IF('คำนวณ'!$DA20&gt;8,"ซ้ายเกิน "&amp;('คำนวณ'!$DA20-8)&amp;" คน","")))</f>
        <v/>
      </c>
    </row>
    <row r="23">
      <c r="A23" s="32">
        <f>IF('คำนวณ'!$B21=0,"",'คำนวณ'!$A21)</f>
        <v/>
      </c>
      <c r="B23" s="32">
        <f>IF('คำนวณ'!$B21=0,"",'ตารางเวร'!U$9)</f>
        <v/>
      </c>
      <c r="C23" s="32">
        <f>IF('คำนวณ'!$B21=0,"",'คำนวณ'!$DA21)</f>
        <v/>
      </c>
      <c r="D23" s="32">
        <f>IF('คำนวณ'!$B21=0,"",'คำนวณ'!$CZ21)</f>
        <v/>
      </c>
      <c r="E23" s="32">
        <f>IF('คำนวณ'!$B21=0,"",'คำนวณ'!$CZ21+'คำนวณ'!$DA21)</f>
        <v/>
      </c>
      <c r="F23" s="38">
        <f>IF('คำนวณ'!$B21=0,"",TRIM(IF('คำนวณ'!$CZ21+'คำนวณ'!$DA21=0,"ไม่มีคนเข้าเวรเลย  ","")&amp;IF(AND('คำนวณ'!$DX21=1,'คำนวณ'!$CZ21&gt;0),"วันนี้ฝั่ง P1 ต้องหยุด แต่มีคนแต้มสี "&amp;'คำนวณ'!$CZ21&amp;" คน  ","")&amp;IF(AND('คำนวณ'!$DX21=0,'คำนวณ'!$CZ21+'คำนวณ'!$DA21&gt;0,'คำนวณ'!$CZ21=0),"ไม่มีคนฝั่งขวา (P1)  ","")&amp;IF('คำนวณ'!$CZ21&gt;4,"ขวาเกิน "&amp;('คำนวณ'!$CZ21-4)&amp;" คน  ","")&amp;IF('คำนวณ'!$DA21&gt;8,"ซ้ายเกิน "&amp;('คำนวณ'!$DA21-8)&amp;" คน","")))</f>
        <v/>
      </c>
    </row>
    <row r="24">
      <c r="A24" s="32">
        <f>IF('คำนวณ'!$B22=0,"",'คำนวณ'!$A22)</f>
        <v/>
      </c>
      <c r="B24" s="32">
        <f>IF('คำนวณ'!$B22=0,"",'ตารางเวร'!V$9)</f>
        <v/>
      </c>
      <c r="C24" s="32">
        <f>IF('คำนวณ'!$B22=0,"",'คำนวณ'!$DA22)</f>
        <v/>
      </c>
      <c r="D24" s="32">
        <f>IF('คำนวณ'!$B22=0,"",'คำนวณ'!$CZ22)</f>
        <v/>
      </c>
      <c r="E24" s="32">
        <f>IF('คำนวณ'!$B22=0,"",'คำนวณ'!$CZ22+'คำนวณ'!$DA22)</f>
        <v/>
      </c>
      <c r="F24" s="38">
        <f>IF('คำนวณ'!$B22=0,"",TRIM(IF('คำนวณ'!$CZ22+'คำนวณ'!$DA22=0,"ไม่มีคนเข้าเวรเลย  ","")&amp;IF(AND('คำนวณ'!$DX22=1,'คำนวณ'!$CZ22&gt;0),"วันนี้ฝั่ง P1 ต้องหยุด แต่มีคนแต้มสี "&amp;'คำนวณ'!$CZ22&amp;" คน  ","")&amp;IF(AND('คำนวณ'!$DX22=0,'คำนวณ'!$CZ22+'คำนวณ'!$DA22&gt;0,'คำนวณ'!$CZ22=0),"ไม่มีคนฝั่งขวา (P1)  ","")&amp;IF('คำนวณ'!$CZ22&gt;4,"ขวาเกิน "&amp;('คำนวณ'!$CZ22-4)&amp;" คน  ","")&amp;IF('คำนวณ'!$DA22&gt;8,"ซ้ายเกิน "&amp;('คำนวณ'!$DA22-8)&amp;" คน","")))</f>
        <v/>
      </c>
    </row>
    <row r="25">
      <c r="A25" s="32">
        <f>IF('คำนวณ'!$B23=0,"",'คำนวณ'!$A23)</f>
        <v/>
      </c>
      <c r="B25" s="32">
        <f>IF('คำนวณ'!$B23=0,"",'ตารางเวร'!W$9)</f>
        <v/>
      </c>
      <c r="C25" s="32">
        <f>IF('คำนวณ'!$B23=0,"",'คำนวณ'!$DA23)</f>
        <v/>
      </c>
      <c r="D25" s="32">
        <f>IF('คำนวณ'!$B23=0,"",'คำนวณ'!$CZ23)</f>
        <v/>
      </c>
      <c r="E25" s="32">
        <f>IF('คำนวณ'!$B23=0,"",'คำนวณ'!$CZ23+'คำนวณ'!$DA23)</f>
        <v/>
      </c>
      <c r="F25" s="38">
        <f>IF('คำนวณ'!$B23=0,"",TRIM(IF('คำนวณ'!$CZ23+'คำนวณ'!$DA23=0,"ไม่มีคนเข้าเวรเลย  ","")&amp;IF(AND('คำนวณ'!$DX23=1,'คำนวณ'!$CZ23&gt;0),"วันนี้ฝั่ง P1 ต้องหยุด แต่มีคนแต้มสี "&amp;'คำนวณ'!$CZ23&amp;" คน  ","")&amp;IF(AND('คำนวณ'!$DX23=0,'คำนวณ'!$CZ23+'คำนวณ'!$DA23&gt;0,'คำนวณ'!$CZ23=0),"ไม่มีคนฝั่งขวา (P1)  ","")&amp;IF('คำนวณ'!$CZ23&gt;4,"ขวาเกิน "&amp;('คำนวณ'!$CZ23-4)&amp;" คน  ","")&amp;IF('คำนวณ'!$DA23&gt;8,"ซ้ายเกิน "&amp;('คำนวณ'!$DA23-8)&amp;" คน","")))</f>
        <v/>
      </c>
    </row>
    <row r="26">
      <c r="A26" s="32">
        <f>IF('คำนวณ'!$B24=0,"",'คำนวณ'!$A24)</f>
        <v/>
      </c>
      <c r="B26" s="32">
        <f>IF('คำนวณ'!$B24=0,"",'ตารางเวร'!X$9)</f>
        <v/>
      </c>
      <c r="C26" s="32">
        <f>IF('คำนวณ'!$B24=0,"",'คำนวณ'!$DA24)</f>
        <v/>
      </c>
      <c r="D26" s="32">
        <f>IF('คำนวณ'!$B24=0,"",'คำนวณ'!$CZ24)</f>
        <v/>
      </c>
      <c r="E26" s="32">
        <f>IF('คำนวณ'!$B24=0,"",'คำนวณ'!$CZ24+'คำนวณ'!$DA24)</f>
        <v/>
      </c>
      <c r="F26" s="38">
        <f>IF('คำนวณ'!$B24=0,"",TRIM(IF('คำนวณ'!$CZ24+'คำนวณ'!$DA24=0,"ไม่มีคนเข้าเวรเลย  ","")&amp;IF(AND('คำนวณ'!$DX24=1,'คำนวณ'!$CZ24&gt;0),"วันนี้ฝั่ง P1 ต้องหยุด แต่มีคนแต้มสี "&amp;'คำนวณ'!$CZ24&amp;" คน  ","")&amp;IF(AND('คำนวณ'!$DX24=0,'คำนวณ'!$CZ24+'คำนวณ'!$DA24&gt;0,'คำนวณ'!$CZ24=0),"ไม่มีคนฝั่งขวา (P1)  ","")&amp;IF('คำนวณ'!$CZ24&gt;4,"ขวาเกิน "&amp;('คำนวณ'!$CZ24-4)&amp;" คน  ","")&amp;IF('คำนวณ'!$DA24&gt;8,"ซ้ายเกิน "&amp;('คำนวณ'!$DA24-8)&amp;" คน","")))</f>
        <v/>
      </c>
    </row>
    <row r="27">
      <c r="A27" s="32">
        <f>IF('คำนวณ'!$B25=0,"",'คำนวณ'!$A25)</f>
        <v/>
      </c>
      <c r="B27" s="32">
        <f>IF('คำนวณ'!$B25=0,"",'ตารางเวร'!Y$9)</f>
        <v/>
      </c>
      <c r="C27" s="32">
        <f>IF('คำนวณ'!$B25=0,"",'คำนวณ'!$DA25)</f>
        <v/>
      </c>
      <c r="D27" s="32">
        <f>IF('คำนวณ'!$B25=0,"",'คำนวณ'!$CZ25)</f>
        <v/>
      </c>
      <c r="E27" s="32">
        <f>IF('คำนวณ'!$B25=0,"",'คำนวณ'!$CZ25+'คำนวณ'!$DA25)</f>
        <v/>
      </c>
      <c r="F27" s="38">
        <f>IF('คำนวณ'!$B25=0,"",TRIM(IF('คำนวณ'!$CZ25+'คำนวณ'!$DA25=0,"ไม่มีคนเข้าเวรเลย  ","")&amp;IF(AND('คำนวณ'!$DX25=1,'คำนวณ'!$CZ25&gt;0),"วันนี้ฝั่ง P1 ต้องหยุด แต่มีคนแต้มสี "&amp;'คำนวณ'!$CZ25&amp;" คน  ","")&amp;IF(AND('คำนวณ'!$DX25=0,'คำนวณ'!$CZ25+'คำนวณ'!$DA25&gt;0,'คำนวณ'!$CZ25=0),"ไม่มีคนฝั่งขวา (P1)  ","")&amp;IF('คำนวณ'!$CZ25&gt;4,"ขวาเกิน "&amp;('คำนวณ'!$CZ25-4)&amp;" คน  ","")&amp;IF('คำนวณ'!$DA25&gt;8,"ซ้ายเกิน "&amp;('คำนวณ'!$DA25-8)&amp;" คน","")))</f>
        <v/>
      </c>
    </row>
    <row r="28">
      <c r="A28" s="32">
        <f>IF('คำนวณ'!$B26=0,"",'คำนวณ'!$A26)</f>
        <v/>
      </c>
      <c r="B28" s="32">
        <f>IF('คำนวณ'!$B26=0,"",'ตารางเวร'!Z$9)</f>
        <v/>
      </c>
      <c r="C28" s="32">
        <f>IF('คำนวณ'!$B26=0,"",'คำนวณ'!$DA26)</f>
        <v/>
      </c>
      <c r="D28" s="32">
        <f>IF('คำนวณ'!$B26=0,"",'คำนวณ'!$CZ26)</f>
        <v/>
      </c>
      <c r="E28" s="32">
        <f>IF('คำนวณ'!$B26=0,"",'คำนวณ'!$CZ26+'คำนวณ'!$DA26)</f>
        <v/>
      </c>
      <c r="F28" s="38">
        <f>IF('คำนวณ'!$B26=0,"",TRIM(IF('คำนวณ'!$CZ26+'คำนวณ'!$DA26=0,"ไม่มีคนเข้าเวรเลย  ","")&amp;IF(AND('คำนวณ'!$DX26=1,'คำนวณ'!$CZ26&gt;0),"วันนี้ฝั่ง P1 ต้องหยุด แต่มีคนแต้มสี "&amp;'คำนวณ'!$CZ26&amp;" คน  ","")&amp;IF(AND('คำนวณ'!$DX26=0,'คำนวณ'!$CZ26+'คำนวณ'!$DA26&gt;0,'คำนวณ'!$CZ26=0),"ไม่มีคนฝั่งขวา (P1)  ","")&amp;IF('คำนวณ'!$CZ26&gt;4,"ขวาเกิน "&amp;('คำนวณ'!$CZ26-4)&amp;" คน  ","")&amp;IF('คำนวณ'!$DA26&gt;8,"ซ้ายเกิน "&amp;('คำนวณ'!$DA26-8)&amp;" คน","")))</f>
        <v/>
      </c>
    </row>
    <row r="29">
      <c r="A29" s="32">
        <f>IF('คำนวณ'!$B27=0,"",'คำนวณ'!$A27)</f>
        <v/>
      </c>
      <c r="B29" s="32">
        <f>IF('คำนวณ'!$B27=0,"",'ตารางเวร'!AA$9)</f>
        <v/>
      </c>
      <c r="C29" s="32">
        <f>IF('คำนวณ'!$B27=0,"",'คำนวณ'!$DA27)</f>
        <v/>
      </c>
      <c r="D29" s="32">
        <f>IF('คำนวณ'!$B27=0,"",'คำนวณ'!$CZ27)</f>
        <v/>
      </c>
      <c r="E29" s="32">
        <f>IF('คำนวณ'!$B27=0,"",'คำนวณ'!$CZ27+'คำนวณ'!$DA27)</f>
        <v/>
      </c>
      <c r="F29" s="38">
        <f>IF('คำนวณ'!$B27=0,"",TRIM(IF('คำนวณ'!$CZ27+'คำนวณ'!$DA27=0,"ไม่มีคนเข้าเวรเลย  ","")&amp;IF(AND('คำนวณ'!$DX27=1,'คำนวณ'!$CZ27&gt;0),"วันนี้ฝั่ง P1 ต้องหยุด แต่มีคนแต้มสี "&amp;'คำนวณ'!$CZ27&amp;" คน  ","")&amp;IF(AND('คำนวณ'!$DX27=0,'คำนวณ'!$CZ27+'คำนวณ'!$DA27&gt;0,'คำนวณ'!$CZ27=0),"ไม่มีคนฝั่งขวา (P1)  ","")&amp;IF('คำนวณ'!$CZ27&gt;4,"ขวาเกิน "&amp;('คำนวณ'!$CZ27-4)&amp;" คน  ","")&amp;IF('คำนวณ'!$DA27&gt;8,"ซ้ายเกิน "&amp;('คำนวณ'!$DA27-8)&amp;" คน","")))</f>
        <v/>
      </c>
    </row>
    <row r="30">
      <c r="A30" s="32">
        <f>IF('คำนวณ'!$B28=0,"",'คำนวณ'!$A28)</f>
        <v/>
      </c>
      <c r="B30" s="32">
        <f>IF('คำนวณ'!$B28=0,"",'ตารางเวร'!AB$9)</f>
        <v/>
      </c>
      <c r="C30" s="32">
        <f>IF('คำนวณ'!$B28=0,"",'คำนวณ'!$DA28)</f>
        <v/>
      </c>
      <c r="D30" s="32">
        <f>IF('คำนวณ'!$B28=0,"",'คำนวณ'!$CZ28)</f>
        <v/>
      </c>
      <c r="E30" s="32">
        <f>IF('คำนวณ'!$B28=0,"",'คำนวณ'!$CZ28+'คำนวณ'!$DA28)</f>
        <v/>
      </c>
      <c r="F30" s="38">
        <f>IF('คำนวณ'!$B28=0,"",TRIM(IF('คำนวณ'!$CZ28+'คำนวณ'!$DA28=0,"ไม่มีคนเข้าเวรเลย  ","")&amp;IF(AND('คำนวณ'!$DX28=1,'คำนวณ'!$CZ28&gt;0),"วันนี้ฝั่ง P1 ต้องหยุด แต่มีคนแต้มสี "&amp;'คำนวณ'!$CZ28&amp;" คน  ","")&amp;IF(AND('คำนวณ'!$DX28=0,'คำนวณ'!$CZ28+'คำนวณ'!$DA28&gt;0,'คำนวณ'!$CZ28=0),"ไม่มีคนฝั่งขวา (P1)  ","")&amp;IF('คำนวณ'!$CZ28&gt;4,"ขวาเกิน "&amp;('คำนวณ'!$CZ28-4)&amp;" คน  ","")&amp;IF('คำนวณ'!$DA28&gt;8,"ซ้ายเกิน "&amp;('คำนวณ'!$DA28-8)&amp;" คน","")))</f>
        <v/>
      </c>
    </row>
    <row r="31">
      <c r="A31" s="32">
        <f>IF('คำนวณ'!$B29=0,"",'คำนวณ'!$A29)</f>
        <v/>
      </c>
      <c r="B31" s="32">
        <f>IF('คำนวณ'!$B29=0,"",'ตารางเวร'!AC$9)</f>
        <v/>
      </c>
      <c r="C31" s="32">
        <f>IF('คำนวณ'!$B29=0,"",'คำนวณ'!$DA29)</f>
        <v/>
      </c>
      <c r="D31" s="32">
        <f>IF('คำนวณ'!$B29=0,"",'คำนวณ'!$CZ29)</f>
        <v/>
      </c>
      <c r="E31" s="32">
        <f>IF('คำนวณ'!$B29=0,"",'คำนวณ'!$CZ29+'คำนวณ'!$DA29)</f>
        <v/>
      </c>
      <c r="F31" s="38">
        <f>IF('คำนวณ'!$B29=0,"",TRIM(IF('คำนวณ'!$CZ29+'คำนวณ'!$DA29=0,"ไม่มีคนเข้าเวรเลย  ","")&amp;IF(AND('คำนวณ'!$DX29=1,'คำนวณ'!$CZ29&gt;0),"วันนี้ฝั่ง P1 ต้องหยุด แต่มีคนแต้มสี "&amp;'คำนวณ'!$CZ29&amp;" คน  ","")&amp;IF(AND('คำนวณ'!$DX29=0,'คำนวณ'!$CZ29+'คำนวณ'!$DA29&gt;0,'คำนวณ'!$CZ29=0),"ไม่มีคนฝั่งขวา (P1)  ","")&amp;IF('คำนวณ'!$CZ29&gt;4,"ขวาเกิน "&amp;('คำนวณ'!$CZ29-4)&amp;" คน  ","")&amp;IF('คำนวณ'!$DA29&gt;8,"ซ้ายเกิน "&amp;('คำนวณ'!$DA29-8)&amp;" คน","")))</f>
        <v/>
      </c>
    </row>
    <row r="32">
      <c r="A32" s="32">
        <f>IF('คำนวณ'!$B30=0,"",'คำนวณ'!$A30)</f>
        <v/>
      </c>
      <c r="B32" s="32">
        <f>IF('คำนวณ'!$B30=0,"",'ตารางเวร'!AD$9)</f>
        <v/>
      </c>
      <c r="C32" s="32">
        <f>IF('คำนวณ'!$B30=0,"",'คำนวณ'!$DA30)</f>
        <v/>
      </c>
      <c r="D32" s="32">
        <f>IF('คำนวณ'!$B30=0,"",'คำนวณ'!$CZ30)</f>
        <v/>
      </c>
      <c r="E32" s="32">
        <f>IF('คำนวณ'!$B30=0,"",'คำนวณ'!$CZ30+'คำนวณ'!$DA30)</f>
        <v/>
      </c>
      <c r="F32" s="38">
        <f>IF('คำนวณ'!$B30=0,"",TRIM(IF('คำนวณ'!$CZ30+'คำนวณ'!$DA30=0,"ไม่มีคนเข้าเวรเลย  ","")&amp;IF(AND('คำนวณ'!$DX30=1,'คำนวณ'!$CZ30&gt;0),"วันนี้ฝั่ง P1 ต้องหยุด แต่มีคนแต้มสี "&amp;'คำนวณ'!$CZ30&amp;" คน  ","")&amp;IF(AND('คำนวณ'!$DX30=0,'คำนวณ'!$CZ30+'คำนวณ'!$DA30&gt;0,'คำนวณ'!$CZ30=0),"ไม่มีคนฝั่งขวา (P1)  ","")&amp;IF('คำนวณ'!$CZ30&gt;4,"ขวาเกิน "&amp;('คำนวณ'!$CZ30-4)&amp;" คน  ","")&amp;IF('คำนวณ'!$DA30&gt;8,"ซ้ายเกิน "&amp;('คำนวณ'!$DA30-8)&amp;" คน","")))</f>
        <v/>
      </c>
    </row>
    <row r="33">
      <c r="A33" s="32">
        <f>IF('คำนวณ'!$B31=0,"",'คำนวณ'!$A31)</f>
        <v/>
      </c>
      <c r="B33" s="32">
        <f>IF('คำนวณ'!$B31=0,"",'ตารางเวร'!AE$9)</f>
        <v/>
      </c>
      <c r="C33" s="32">
        <f>IF('คำนวณ'!$B31=0,"",'คำนวณ'!$DA31)</f>
        <v/>
      </c>
      <c r="D33" s="32">
        <f>IF('คำนวณ'!$B31=0,"",'คำนวณ'!$CZ31)</f>
        <v/>
      </c>
      <c r="E33" s="32">
        <f>IF('คำนวณ'!$B31=0,"",'คำนวณ'!$CZ31+'คำนวณ'!$DA31)</f>
        <v/>
      </c>
      <c r="F33" s="38">
        <f>IF('คำนวณ'!$B31=0,"",TRIM(IF('คำนวณ'!$CZ31+'คำนวณ'!$DA31=0,"ไม่มีคนเข้าเวรเลย  ","")&amp;IF(AND('คำนวณ'!$DX31=1,'คำนวณ'!$CZ31&gt;0),"วันนี้ฝั่ง P1 ต้องหยุด แต่มีคนแต้มสี "&amp;'คำนวณ'!$CZ31&amp;" คน  ","")&amp;IF(AND('คำนวณ'!$DX31=0,'คำนวณ'!$CZ31+'คำนวณ'!$DA31&gt;0,'คำนวณ'!$CZ31=0),"ไม่มีคนฝั่งขวา (P1)  ","")&amp;IF('คำนวณ'!$CZ31&gt;4,"ขวาเกิน "&amp;('คำนวณ'!$CZ31-4)&amp;" คน  ","")&amp;IF('คำนวณ'!$DA31&gt;8,"ซ้ายเกิน "&amp;('คำนวณ'!$DA31-8)&amp;" คน","")))</f>
        <v/>
      </c>
    </row>
    <row r="34">
      <c r="A34" s="32">
        <f>IF('คำนวณ'!$B32=0,"",'คำนวณ'!$A32)</f>
        <v/>
      </c>
      <c r="B34" s="32">
        <f>IF('คำนวณ'!$B32=0,"",'ตารางเวร'!AF$9)</f>
        <v/>
      </c>
      <c r="C34" s="32">
        <f>IF('คำนวณ'!$B32=0,"",'คำนวณ'!$DA32)</f>
        <v/>
      </c>
      <c r="D34" s="32">
        <f>IF('คำนวณ'!$B32=0,"",'คำนวณ'!$CZ32)</f>
        <v/>
      </c>
      <c r="E34" s="32">
        <f>IF('คำนวณ'!$B32=0,"",'คำนวณ'!$CZ32+'คำนวณ'!$DA32)</f>
        <v/>
      </c>
      <c r="F34" s="38">
        <f>IF('คำนวณ'!$B32=0,"",TRIM(IF('คำนวณ'!$CZ32+'คำนวณ'!$DA32=0,"ไม่มีคนเข้าเวรเลย  ","")&amp;IF(AND('คำนวณ'!$DX32=1,'คำนวณ'!$CZ32&gt;0),"วันนี้ฝั่ง P1 ต้องหยุด แต่มีคนแต้มสี "&amp;'คำนวณ'!$CZ32&amp;" คน  ","")&amp;IF(AND('คำนวณ'!$DX32=0,'คำนวณ'!$CZ32+'คำนวณ'!$DA32&gt;0,'คำนวณ'!$CZ32=0),"ไม่มีคนฝั่งขวา (P1)  ","")&amp;IF('คำนวณ'!$CZ32&gt;4,"ขวาเกิน "&amp;('คำนวณ'!$CZ32-4)&amp;" คน  ","")&amp;IF('คำนวณ'!$DA32&gt;8,"ซ้ายเกิน "&amp;('คำนวณ'!$DA32-8)&amp;" คน","")))</f>
        <v/>
      </c>
    </row>
    <row r="35">
      <c r="A35" s="32">
        <f>IF('คำนวณ'!$B33=0,"",'คำนวณ'!$A33)</f>
        <v/>
      </c>
      <c r="B35" s="32">
        <f>IF('คำนวณ'!$B33=0,"",'ตารางเวร'!AG$9)</f>
        <v/>
      </c>
      <c r="C35" s="32">
        <f>IF('คำนวณ'!$B33=0,"",'คำนวณ'!$DA33)</f>
        <v/>
      </c>
      <c r="D35" s="32">
        <f>IF('คำนวณ'!$B33=0,"",'คำนวณ'!$CZ33)</f>
        <v/>
      </c>
      <c r="E35" s="32">
        <f>IF('คำนวณ'!$B33=0,"",'คำนวณ'!$CZ33+'คำนวณ'!$DA33)</f>
        <v/>
      </c>
      <c r="F35" s="38">
        <f>IF('คำนวณ'!$B33=0,"",TRIM(IF('คำนวณ'!$CZ33+'คำนวณ'!$DA33=0,"ไม่มีคนเข้าเวรเลย  ","")&amp;IF(AND('คำนวณ'!$DX33=1,'คำนวณ'!$CZ33&gt;0),"วันนี้ฝั่ง P1 ต้องหยุด แต่มีคนแต้มสี "&amp;'คำนวณ'!$CZ33&amp;" คน  ","")&amp;IF(AND('คำนวณ'!$DX33=0,'คำนวณ'!$CZ33+'คำนวณ'!$DA33&gt;0,'คำนวณ'!$CZ33=0),"ไม่มีคนฝั่งขวา (P1)  ","")&amp;IF('คำนวณ'!$CZ33&gt;4,"ขวาเกิน "&amp;('คำนวณ'!$CZ33-4)&amp;" คน  ","")&amp;IF('คำนวณ'!$DA33&gt;8,"ซ้ายเกิน "&amp;('คำนวณ'!$DA33-8)&amp;" คน","")))</f>
        <v/>
      </c>
    </row>
  </sheetData>
  <sheetProtection selectLockedCells="1" selectUnlockedCells="0" sheet="1" objects="0" insertRows="1" insertHyperlinks="1" autoFilter="0" scenarios="0" formatColumns="1" deleteColumns="1" insertColumns="1" pivotTables="1" deleteRows="1" formatCells="1" formatRows="1" sort="0"/>
  <mergeCells count="2">
    <mergeCell ref="A2:F2"/>
    <mergeCell ref="A1:F1"/>
  </mergeCells>
  <conditionalFormatting sqref="A2:F2">
    <cfRule type="expression" priority="1" dxfId="7">
      <formula>LEFT($A$2,1)="⚠"</formula>
    </cfRule>
  </conditionalFormatting>
  <conditionalFormatting sqref="A5:F35">
    <cfRule type="expression" priority="2" dxfId="8">
      <formula>$F5&lt;&gt;""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2026-08-08T06:52:33Z</dcterms:created>
  <dcterms:modified xsi:type="dcterms:W3CDTF">2026-08-08T06:52:33Z</dcterms:modified>
</cp:coreProperties>
</file>